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s:workbook xmlns:r="http://schemas.openxmlformats.org/officeDocument/2006/relationships" xmlns:s="http://schemas.openxmlformats.org/spreadsheetml/2006/main">
  <s:workbookPr codeName="ThisWorkbook"/>
  <s:bookViews>
    <s:workbookView activeTab="1"/>
  </s:bookViews>
  <s:sheets>
    <s:sheet name="Jan (2)" sheetId="1" r:id="rId1"/>
    <s:sheet name="Jan" sheetId="2" r:id="rId2"/>
    <s:sheet name="November" sheetId="3" r:id="rId3"/>
  </s:sheets>
  <s:definedNames>
    <s:definedName hidden="1" localSheetId="0" name="_xlnm._FilterDatabase">'Jan (2)'!$A$1:$AV$164</s:definedName>
    <s:definedName hidden="1" localSheetId="1" name="_xlnm._FilterDatabase">'Jan'!$A$1:$AU$164</s:definedName>
  </s:definedNames>
  <s:calcPr calcId="124519" fullCalcOnLoad="1"/>
</s:workbook>
</file>

<file path=xl/sharedStrings.xml><?xml version="1.0" encoding="utf-8"?>
<sst xmlns="http://schemas.openxmlformats.org/spreadsheetml/2006/main" uniqueCount="426">
  <si>
    <t>2902 N Caroline</t>
  </si>
  <si>
    <t>Indianapolis</t>
  </si>
  <si>
    <t>IN</t>
  </si>
  <si>
    <t>46218</t>
  </si>
  <si>
    <t>SFR</t>
  </si>
  <si>
    <t xml:space="preserve">
Performing
Prop ID</t>
  </si>
  <si>
    <t xml:space="preserve">Street Address </t>
  </si>
  <si>
    <t>City</t>
  </si>
  <si>
    <t>State</t>
  </si>
  <si>
    <t>Zip</t>
  </si>
  <si>
    <t>Property
Type</t>
  </si>
  <si>
    <t>Date of Note</t>
  </si>
  <si>
    <t>Current UPB</t>
  </si>
  <si>
    <t>Rate</t>
  </si>
  <si>
    <t>P&amp;I Payment</t>
  </si>
  <si>
    <t>T&amp;I 
Payment</t>
  </si>
  <si>
    <t>Remaining Term</t>
  </si>
  <si>
    <t>Last Payment 
Received</t>
  </si>
  <si>
    <t>Next Payment Due</t>
  </si>
  <si>
    <t>BPO Value</t>
  </si>
  <si>
    <t>Titanium Price</t>
  </si>
  <si>
    <t>852 SENECA RD</t>
  </si>
  <si>
    <t>E STROUDSBURG</t>
  </si>
  <si>
    <t>PA</t>
  </si>
  <si>
    <t>Click Here</t>
  </si>
  <si>
    <t>17.1% home app; Partial tax payment; Property taxes seem to be on the high side</t>
  </si>
  <si>
    <t>2878 Whitlow Rd</t>
  </si>
  <si>
    <t>Columbus</t>
  </si>
  <si>
    <t>OH</t>
  </si>
  <si>
    <t>43232</t>
  </si>
  <si>
    <t>Across the street from a school. Very poor schools</t>
  </si>
  <si>
    <t>10432 Gailwood Circle East</t>
  </si>
  <si>
    <t>Jacksonville</t>
  </si>
  <si>
    <t>FL</t>
  </si>
  <si>
    <t>32218</t>
  </si>
  <si>
    <t>Average crime and school</t>
  </si>
  <si>
    <t>512 COLLINS ST</t>
  </si>
  <si>
    <t>SALISBURY</t>
  </si>
  <si>
    <t>MD</t>
  </si>
  <si>
    <t>Averge crime</t>
  </si>
  <si>
    <t>NPL's
Prop ID</t>
  </si>
  <si>
    <t>Property 
Type</t>
  </si>
  <si>
    <t>Date of 
Note</t>
  </si>
  <si>
    <t>Remaining 
Term</t>
  </si>
  <si>
    <t>DD LINKS</t>
  </si>
  <si>
    <t>ITV</t>
  </si>
  <si>
    <t>ITV(Comps)</t>
  </si>
  <si>
    <t>Equity</t>
  </si>
  <si>
    <t>Zillow</t>
  </si>
  <si>
    <t>Trulia</t>
  </si>
  <si>
    <t>RPR</t>
  </si>
  <si>
    <t>Market Value (Sales Approach)</t>
  </si>
  <si>
    <t>Market Value (Income Approach)</t>
  </si>
  <si>
    <t>Rent</t>
  </si>
  <si>
    <t>Comments</t>
  </si>
  <si>
    <t>1530 Jonathan Ave</t>
  </si>
  <si>
    <t>Cincinnati</t>
  </si>
  <si>
    <t>High crime</t>
  </si>
  <si>
    <t>405 Glenwood Ave</t>
  </si>
  <si>
    <t>Charleston</t>
  </si>
  <si>
    <t>WV</t>
  </si>
  <si>
    <t>25302</t>
  </si>
  <si>
    <t>High crime and poor schools</t>
  </si>
  <si>
    <t>1100 GREENLAW AVE</t>
  </si>
  <si>
    <t>MEMPHIS</t>
  </si>
  <si>
    <t>TN</t>
  </si>
  <si>
    <t>High crime and very poor schools</t>
  </si>
  <si>
    <t>259 S Ave</t>
  </si>
  <si>
    <t>Bridgeton</t>
  </si>
  <si>
    <t>NJ</t>
  </si>
  <si>
    <t>08302</t>
  </si>
  <si>
    <t>High crime in the area</t>
  </si>
  <si>
    <t>51 Courtland Ave</t>
  </si>
  <si>
    <t>Buffalo</t>
  </si>
  <si>
    <t>NY</t>
  </si>
  <si>
    <t>14215</t>
  </si>
  <si>
    <t>Multi Family</t>
  </si>
  <si>
    <t>High crime; Poor schools</t>
  </si>
  <si>
    <t>20 N Abington Ave</t>
  </si>
  <si>
    <t>Baltimore</t>
  </si>
  <si>
    <t>21229</t>
  </si>
  <si>
    <t>518 S LEAVITT ST</t>
  </si>
  <si>
    <t>BRAZIL</t>
  </si>
  <si>
    <t>Low crime</t>
  </si>
  <si>
    <t>1239 N LAFOUNTAIN ST</t>
  </si>
  <si>
    <t>KOKOMO</t>
  </si>
  <si>
    <t>Low Crime</t>
  </si>
  <si>
    <t>6881 W NC Hwy 210</t>
  </si>
  <si>
    <t>Garland</t>
  </si>
  <si>
    <t>NC</t>
  </si>
  <si>
    <t>28441</t>
  </si>
  <si>
    <t>509 WOODCREST DR</t>
  </si>
  <si>
    <t>Columbia</t>
  </si>
  <si>
    <t>SC</t>
  </si>
  <si>
    <t>114 NE 8TH ST</t>
  </si>
  <si>
    <t>MASSILLON</t>
  </si>
  <si>
    <t>Low crime and average schools; Built in 1982</t>
  </si>
  <si>
    <t>114 Florence Ave</t>
  </si>
  <si>
    <t>Jackson</t>
  </si>
  <si>
    <t>45640</t>
  </si>
  <si>
    <t>Low Crime and better than average schools</t>
  </si>
  <si>
    <t>90 Johnson Rd</t>
  </si>
  <si>
    <t>Hastings</t>
  </si>
  <si>
    <t>13131</t>
  </si>
  <si>
    <t>118 S EAST ST</t>
  </si>
  <si>
    <t>WONEWOC</t>
  </si>
  <si>
    <t>WI</t>
  </si>
  <si>
    <t>Low crime and better than average schools</t>
  </si>
  <si>
    <t>613 N RANGE ST</t>
  </si>
  <si>
    <t>WOLCOTT</t>
  </si>
  <si>
    <t>619 Polk</t>
  </si>
  <si>
    <t>Iowa Falls</t>
  </si>
  <si>
    <t>IA</t>
  </si>
  <si>
    <t>Low crime, Average schools</t>
  </si>
  <si>
    <t>45 Orchard Trl</t>
  </si>
  <si>
    <t>Blooming Grove</t>
  </si>
  <si>
    <t>10950</t>
  </si>
  <si>
    <t>Low crime, good schools</t>
  </si>
  <si>
    <t>7 Washington St</t>
  </si>
  <si>
    <t>Monticello</t>
  </si>
  <si>
    <t>12701</t>
  </si>
  <si>
    <t>Low crime, medicre schools</t>
  </si>
  <si>
    <t>3295 S. Circle Drive</t>
  </si>
  <si>
    <t>Kalkaska</t>
  </si>
  <si>
    <t>MI</t>
  </si>
  <si>
    <t>49646</t>
  </si>
  <si>
    <t>Low crime; Average schools</t>
  </si>
  <si>
    <t>1303 S 9th St</t>
  </si>
  <si>
    <t>Chickasha</t>
  </si>
  <si>
    <t>OK</t>
  </si>
  <si>
    <t>73018</t>
  </si>
  <si>
    <t>Low Crime; Better than averge schools</t>
  </si>
  <si>
    <t>1019 Pine St</t>
  </si>
  <si>
    <t>Ambridge</t>
  </si>
  <si>
    <t>15003</t>
  </si>
  <si>
    <t>Low crime; mediocre schools</t>
  </si>
  <si>
    <t>211 Birch Street</t>
  </si>
  <si>
    <t>Harriman</t>
  </si>
  <si>
    <t>Low crime; No nearby schools</t>
  </si>
  <si>
    <t>2122 Broadway</t>
  </si>
  <si>
    <t>Blue Island</t>
  </si>
  <si>
    <t>IL</t>
  </si>
  <si>
    <t>60406</t>
  </si>
  <si>
    <t>Low crime; Poor school</t>
  </si>
  <si>
    <t>7211 Baer Rd</t>
  </si>
  <si>
    <t>Fort Wayne</t>
  </si>
  <si>
    <t>46809</t>
  </si>
  <si>
    <t>Low crime; poor schools</t>
  </si>
  <si>
    <t>17652 ALBION ST.</t>
  </si>
  <si>
    <t>DETROIT</t>
  </si>
  <si>
    <t>Low rent and property address surrounded by crime.  Property value trending down.</t>
  </si>
  <si>
    <t>18940 Runyon St</t>
  </si>
  <si>
    <t>Low rent and properyt in the middle of crime</t>
  </si>
  <si>
    <t>1815 Rice St</t>
  </si>
  <si>
    <t>Little Rock</t>
  </si>
  <si>
    <t>AR</t>
  </si>
  <si>
    <t>72202</t>
  </si>
  <si>
    <t>Medium Crime</t>
  </si>
  <si>
    <t>4515 W 28Th Pl</t>
  </si>
  <si>
    <t>Gary</t>
  </si>
  <si>
    <t>46404</t>
  </si>
  <si>
    <t>Medium crime, poor schools</t>
  </si>
  <si>
    <t>5139 Racine</t>
  </si>
  <si>
    <t>Chicago</t>
  </si>
  <si>
    <t>60609</t>
  </si>
  <si>
    <t>Surround by high crime areas</t>
  </si>
  <si>
    <t>1749 Franklin St</t>
  </si>
  <si>
    <t>Racine</t>
  </si>
  <si>
    <t>53403</t>
  </si>
  <si>
    <t>806 Kirbert Ave</t>
  </si>
  <si>
    <t>Surround by high crime areas; Poor schools</t>
  </si>
  <si>
    <t>5346 Wayne Ave.</t>
  </si>
  <si>
    <t>Kansas City</t>
  </si>
  <si>
    <t>MO</t>
  </si>
  <si>
    <t>Surrounded by high crmes areas</t>
  </si>
  <si>
    <t>235 Sullivan Ave</t>
  </si>
  <si>
    <t>Zanesville</t>
  </si>
  <si>
    <t>43701</t>
  </si>
  <si>
    <t xml:space="preserve">Multi Family </t>
  </si>
  <si>
    <t>Vacant Land; Heavy crime area</t>
  </si>
  <si>
    <t>417 MILLER ST</t>
  </si>
  <si>
    <t>EAST SPENCE</t>
  </si>
  <si>
    <t>26 New Rose St</t>
  </si>
  <si>
    <t>Ewing</t>
  </si>
  <si>
    <t>08618</t>
  </si>
  <si>
    <t>Town home</t>
  </si>
  <si>
    <t>130 Aspen Rd</t>
  </si>
  <si>
    <t>Albrightsville</t>
  </si>
  <si>
    <t>18210</t>
  </si>
  <si>
    <t xml:space="preserve">
Performing/Sub Performing
Prop ID</t>
  </si>
  <si>
    <t>Remaining
 Term</t>
  </si>
  <si>
    <t>537 HELEN ST</t>
  </si>
  <si>
    <t>2519 Sarvis Ct</t>
  </si>
  <si>
    <t>4035 Heyward St</t>
  </si>
  <si>
    <t>735 Phillis Way</t>
  </si>
  <si>
    <t>Cocoa</t>
  </si>
  <si>
    <t>Mobile/ Land</t>
  </si>
  <si>
    <t>5201 WHETSEL AVE</t>
  </si>
  <si>
    <t>904 E Wilbeth Rd</t>
  </si>
  <si>
    <t>Akron</t>
  </si>
  <si>
    <t>1032 Parkson Pl</t>
  </si>
  <si>
    <t>321 N Dean Street</t>
  </si>
  <si>
    <t>Spartanburg</t>
  </si>
  <si>
    <t>29302</t>
  </si>
  <si>
    <t>1172 Clay St</t>
  </si>
  <si>
    <t>2038 Linden Ave, Unit B</t>
  </si>
  <si>
    <t>21217</t>
  </si>
  <si>
    <t>420 S Center Street</t>
  </si>
  <si>
    <t>Terre Haute</t>
  </si>
  <si>
    <t>47807</t>
  </si>
  <si>
    <t>33-35 Rainier St</t>
  </si>
  <si>
    <t>Rochester</t>
  </si>
  <si>
    <t>251 NASHOBA AV</t>
  </si>
  <si>
    <t>251 Oakley Av N</t>
  </si>
  <si>
    <t>1152  MILLER AV</t>
  </si>
  <si>
    <t>75 N TERRACE AV</t>
  </si>
  <si>
    <t>5/19//2014</t>
  </si>
  <si>
    <t>17316 Stockbridge Ave</t>
  </si>
  <si>
    <t>Cleveland</t>
  </si>
  <si>
    <t>09/12//2014</t>
  </si>
  <si>
    <t>2547 Mariposa Dr</t>
  </si>
  <si>
    <t>2650 E 124 St</t>
  </si>
  <si>
    <t>12/01//2015</t>
  </si>
  <si>
    <t>3772 E 142 St</t>
  </si>
  <si>
    <t>3121 W 88th St</t>
  </si>
  <si>
    <t>12/14//2015</t>
  </si>
  <si>
    <t xml:space="preserve">93 SHANTY </t>
  </si>
  <si>
    <t>MC INTOSH</t>
  </si>
  <si>
    <t>AL</t>
  </si>
  <si>
    <t>449 Southport Road</t>
  </si>
  <si>
    <t>Mt Pleasant</t>
  </si>
  <si>
    <t>38474-1684</t>
  </si>
  <si>
    <t>4519 SARATOGA ROAD</t>
  </si>
  <si>
    <t>RICHTON PARK</t>
  </si>
  <si>
    <t>60471</t>
  </si>
  <si>
    <t>01/01/0216</t>
  </si>
  <si>
    <t xml:space="preserve">
REO
Prop ID</t>
  </si>
  <si>
    <t>Lockbox 
Code</t>
  </si>
  <si>
    <t>Titanium 
Price</t>
  </si>
  <si>
    <t>Mentor Price</t>
  </si>
  <si>
    <t>Non-Mentor Price</t>
  </si>
  <si>
    <t>1237 Indiana St</t>
  </si>
  <si>
    <t>Birmingham</t>
  </si>
  <si>
    <t>23-02-26</t>
  </si>
  <si>
    <t>4401 Daniels St.</t>
  </si>
  <si>
    <t>Ashland</t>
  </si>
  <si>
    <t>KY</t>
  </si>
  <si>
    <t>34-4-22</t>
  </si>
  <si>
    <t>2029 26Th St. Ensley</t>
  </si>
  <si>
    <t>26-30-24</t>
  </si>
  <si>
    <t>1716 Berdan Ave.</t>
  </si>
  <si>
    <t>Toledo</t>
  </si>
  <si>
    <t>24-30-24</t>
  </si>
  <si>
    <t>2313 W. Chestnut St.</t>
  </si>
  <si>
    <t>Louisville</t>
  </si>
  <si>
    <t>6-15-30</t>
  </si>
  <si>
    <t>428 Buffalo St.</t>
  </si>
  <si>
    <t>20-31-12</t>
  </si>
  <si>
    <t>317 W. 6th St.</t>
  </si>
  <si>
    <t>Beardstown</t>
  </si>
  <si>
    <t>31-13-03</t>
  </si>
  <si>
    <t>$28309</t>
  </si>
  <si>
    <t>$42,000</t>
  </si>
  <si>
    <t>$30893</t>
  </si>
  <si>
    <t>$30,000</t>
  </si>
  <si>
    <t>$32475</t>
  </si>
  <si>
    <t>Not Found</t>
  </si>
  <si>
    <t>$53722</t>
  </si>
  <si>
    <t>$44625</t>
  </si>
  <si>
    <t>$68831</t>
  </si>
  <si>
    <t>$66,000</t>
  </si>
  <si>
    <t>$83866</t>
  </si>
  <si>
    <t>$81,000</t>
  </si>
  <si>
    <t>$86526</t>
  </si>
  <si>
    <t>$69472</t>
  </si>
  <si>
    <t>$73695</t>
  </si>
  <si>
    <t>$78,000</t>
  </si>
  <si>
    <t>$57690</t>
  </si>
  <si>
    <t>$69,000</t>
  </si>
  <si>
    <t>$92352</t>
  </si>
  <si>
    <t>$89,000</t>
  </si>
  <si>
    <t>$63507</t>
  </si>
  <si>
    <t>$135,000</t>
  </si>
  <si>
    <t>Not found</t>
  </si>
  <si>
    <t>$89166</t>
  </si>
  <si>
    <t>$78882</t>
  </si>
  <si>
    <t>$74837</t>
  </si>
  <si>
    <t>$57,000</t>
  </si>
  <si>
    <t>$67747</t>
  </si>
  <si>
    <t>$39835</t>
  </si>
  <si>
    <t>$67557</t>
  </si>
  <si>
    <t>$58,000</t>
  </si>
  <si>
    <t>$66176</t>
  </si>
  <si>
    <t>$61425</t>
  </si>
  <si>
    <t>$56454</t>
  </si>
  <si>
    <t>$45801</t>
  </si>
  <si>
    <t>$85294</t>
  </si>
  <si>
    <t>$111,000</t>
  </si>
  <si>
    <t>$54053</t>
  </si>
  <si>
    <t>$61,000</t>
  </si>
  <si>
    <t>$70683</t>
  </si>
  <si>
    <t>$65,000</t>
  </si>
  <si>
    <t>$48389</t>
  </si>
  <si>
    <t>$47,000</t>
  </si>
  <si>
    <t>$97182</t>
  </si>
  <si>
    <t>$51721</t>
  </si>
  <si>
    <t>$62,000</t>
  </si>
  <si>
    <t>$48803</t>
  </si>
  <si>
    <t>$56,000</t>
  </si>
  <si>
    <t>$108005</t>
  </si>
  <si>
    <t>$62128</t>
  </si>
  <si>
    <t>$38,000</t>
  </si>
  <si>
    <t>$76657</t>
  </si>
  <si>
    <t>$55,000</t>
  </si>
  <si>
    <t>$50359</t>
  </si>
  <si>
    <t>$75,000</t>
  </si>
  <si>
    <t>$75485</t>
  </si>
  <si>
    <t>$114,000</t>
  </si>
  <si>
    <t>$60969</t>
  </si>
  <si>
    <t>$38162</t>
  </si>
  <si>
    <t>$55815</t>
  </si>
  <si>
    <t>$71549</t>
  </si>
  <si>
    <t>$102,000</t>
  </si>
  <si>
    <t>$55880</t>
  </si>
  <si>
    <t>$49,000</t>
  </si>
  <si>
    <t>$32880</t>
  </si>
  <si>
    <t>$95502</t>
  </si>
  <si>
    <t>$87,000</t>
  </si>
  <si>
    <t>$70119</t>
  </si>
  <si>
    <t>$82782</t>
  </si>
  <si>
    <t>$73155</t>
  </si>
  <si>
    <t>$56869</t>
  </si>
  <si>
    <t>$64391</t>
  </si>
  <si>
    <t>$52,000</t>
  </si>
  <si>
    <t>$49109</t>
  </si>
  <si>
    <t>$59184</t>
  </si>
  <si>
    <t>$77,000</t>
  </si>
  <si>
    <t>$59300</t>
  </si>
  <si>
    <t>$53,000</t>
  </si>
  <si>
    <t>$82346</t>
  </si>
  <si>
    <t>$70,000</t>
  </si>
  <si>
    <t>$72107</t>
  </si>
  <si>
    <t>$62182</t>
  </si>
  <si>
    <t>$60879</t>
  </si>
  <si>
    <t>$48646</t>
  </si>
  <si>
    <t>$50220</t>
  </si>
  <si>
    <t>$39,000</t>
  </si>
  <si>
    <t>$103394</t>
  </si>
  <si>
    <t>$64634</t>
  </si>
  <si>
    <t>$66828</t>
  </si>
  <si>
    <t>$80,000</t>
  </si>
  <si>
    <t>$43869</t>
  </si>
  <si>
    <t>$35,000</t>
  </si>
  <si>
    <t>$63144</t>
  </si>
  <si>
    <t>$115,000</t>
  </si>
  <si>
    <t>$36249</t>
  </si>
  <si>
    <t>$36,000</t>
  </si>
  <si>
    <t>$167234</t>
  </si>
  <si>
    <t>$60642</t>
  </si>
  <si>
    <t>$104151</t>
  </si>
  <si>
    <t>Yield</t>
  </si>
  <si>
    <t>Low crime; Rent $950/mo</t>
  </si>
  <si>
    <t>431 Oakley Ave</t>
  </si>
  <si>
    <t>Rockford</t>
  </si>
  <si>
    <t>61101</t>
  </si>
  <si>
    <t>342 W 4th St</t>
  </si>
  <si>
    <t>East Liverpool</t>
  </si>
  <si>
    <t>43920</t>
  </si>
  <si>
    <t>615 E WALNUT ST</t>
  </si>
  <si>
    <t>BOONVILLE</t>
  </si>
  <si>
    <t>Low crime; Rent:$600</t>
  </si>
  <si>
    <t>Low Crime; Less than average schools</t>
  </si>
  <si>
    <t>Declining market</t>
  </si>
  <si>
    <t>1441 BOBOLINK LN NE</t>
  </si>
  <si>
    <t>BIRMINGHAM</t>
  </si>
  <si>
    <t>804 COLLEGE LANE</t>
  </si>
  <si>
    <t>TALLULAH</t>
  </si>
  <si>
    <t>LA</t>
  </si>
  <si>
    <t>Violent Crime</t>
  </si>
  <si>
    <t>307 White St</t>
  </si>
  <si>
    <t>Hammond</t>
  </si>
  <si>
    <t>70403</t>
  </si>
  <si>
    <t>64 DIAMOND ST</t>
  </si>
  <si>
    <t>IRONDALE</t>
  </si>
  <si>
    <t>2503 S SELBY STREET</t>
  </si>
  <si>
    <t>MARION</t>
  </si>
  <si>
    <t>5513 Versye Ave</t>
  </si>
  <si>
    <t>Theodore</t>
  </si>
  <si>
    <t>36582</t>
  </si>
  <si>
    <t>613 N CENTRE ST</t>
  </si>
  <si>
    <t>POTTSVILLE</t>
  </si>
  <si>
    <t>Crime</t>
  </si>
  <si>
    <t>1124 E SCHOOL ST</t>
  </si>
  <si>
    <t>ANDERSON</t>
  </si>
  <si>
    <t>Low crime; Rent: $625</t>
  </si>
  <si>
    <t>106 N WOOD ST</t>
  </si>
  <si>
    <t>BROOKSTON</t>
  </si>
  <si>
    <t>1422 Hull Avenue</t>
  </si>
  <si>
    <t>Beloit</t>
  </si>
  <si>
    <t>3244 Broadway St.</t>
  </si>
  <si>
    <t>Single Family</t>
  </si>
  <si>
    <t>212 Woodrow Ave</t>
  </si>
  <si>
    <t>Suffolk</t>
  </si>
  <si>
    <t>VA</t>
  </si>
  <si>
    <t>1417 S. 19th Street</t>
  </si>
  <si>
    <t>58 Fairview Ave</t>
  </si>
  <si>
    <t>Campbell</t>
  </si>
  <si>
    <t>577 Arthur</t>
  </si>
  <si>
    <t>Pontiac</t>
  </si>
  <si>
    <t>16 S. Water St</t>
  </si>
  <si>
    <t>Greens Fork</t>
  </si>
  <si>
    <t>604 E Ormsby St</t>
  </si>
  <si>
    <t>425 S 5TH ST</t>
  </si>
  <si>
    <t>FAIRFAX</t>
  </si>
  <si>
    <t>1347 S Carlson</t>
  </si>
  <si>
    <t>Westland</t>
  </si>
  <si>
    <t>70 De Camp Ave</t>
  </si>
  <si>
    <t>220 East St</t>
  </si>
  <si>
    <t>Ardmore</t>
  </si>
  <si>
    <t>711 LOCK AV</t>
  </si>
  <si>
    <t>3931 DELMAR AVE</t>
  </si>
  <si>
    <t>343 Martin Luther King Blvd. S</t>
  </si>
  <si>
    <t>4254 Loubell Ln</t>
  </si>
  <si>
    <t>1710 HOPKINS AV</t>
  </si>
  <si>
    <t>210 COOLIDGE AVE E</t>
  </si>
  <si>
    <t>BATTLE CREEK</t>
  </si>
</sst>
</file>

<file path=xl/styles.xml><?xml version="1.0" encoding="utf-8"?>
<styleSheet xmlns="http://schemas.openxmlformats.org/spreadsheetml/2006/main">
  <numFmts count="5">
    <numFmt formatCode="&quot;$&quot;#,##0.00_);[Red]\(&quot;$&quot;#,##0.00\)" numFmtId="164"/>
    <numFmt formatCode="_(&quot;$&quot;* #,##0.00_);_(&quot;$&quot;* \(#,##0.00\);_(&quot;$&quot;* &quot;-&quot;??_);_(@_)" numFmtId="165"/>
    <numFmt formatCode="_(* #,##0.00_);_(* \(#,##0.00\);_(* &quot;-&quot;??_);_(@_)" numFmtId="166"/>
    <numFmt formatCode="_-&quot;$&quot;* #,##0.00_-;\-&quot;$&quot;* #,##0.00_-;_-&quot;$&quot;* &quot;-&quot;??_-;_-@_-" numFmtId="167"/>
    <numFmt formatCode="&quot;$&quot;#,##0.00" numFmtId="168"/>
  </numFmts>
  <fonts count="2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FFFFFF"/>
      <sz val="12"/>
    </font>
    <font>
      <name val="Calibri"/>
      <family val="2"/>
      <b val="1"/>
      <color theme="2"/>
      <sz val="12"/>
      <scheme val="minor"/>
    </font>
    <font>
      <name val="Calibri"/>
      <family val="2"/>
      <b val="1"/>
      <color theme="0"/>
      <sz val="12"/>
      <scheme val="minor"/>
    </font>
    <font>
      <name val="Arial"/>
      <family val="2"/>
      <color indexed="8"/>
      <sz val="10"/>
    </font>
    <font>
      <name val="Calibri"/>
      <family val="2"/>
      <color rgb="FF000000"/>
      <sz val="11"/>
    </font>
    <font>
      <name val="Calibri"/>
      <family val="2"/>
      <color indexed="8"/>
      <sz val="11"/>
    </font>
    <font>
      <name val="Arial"/>
      <family val="2"/>
      <color rgb="00000000"/>
      <sz val="10"/>
    </font>
    <font>
      <name val="Calibri"/>
      <family val="2"/>
      <color theme="10"/>
      <sz val="11"/>
      <scheme val="minor"/>
    </font>
    <font>
      <name val="Calibri"/>
      <family val="2"/>
      <b val="1"/>
      <color theme="10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1"/>
      <sz val="11"/>
      <scheme val="minor"/>
    </font>
    <font>
      <name val="Calibri"/>
      <family val="2"/>
      <color rgb="FF000000"/>
      <sz val="12"/>
      <scheme val="minor"/>
    </font>
    <font>
      <name val="Calibri"/>
      <family val="2"/>
      <color rgb="00000000"/>
      <sz val="11"/>
    </font>
    <font>
      <name val="Calibri"/>
      <family val="2"/>
      <b val="1"/>
      <color rgb="FFFFFFFF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color rgb="00000000"/>
      <sz val="11"/>
      <scheme val="minor"/>
    </font>
    <font>
      <name val="Calibri"/>
      <family val="2"/>
      <b val="1"/>
      <color theme="2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1F497D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C869"/>
        <bgColor rgb="FF000000"/>
      </patternFill>
    </fill>
    <fill>
      <patternFill patternType="solid">
        <fgColor rgb="FF008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36"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3" numFmtId="0"/>
    <xf borderId="0" fillId="0" fontId="1" numFmtId="0"/>
    <xf borderId="0" fillId="0" fontId="1" numFmtId="0"/>
    <xf borderId="0" fillId="0" fontId="6" numFmtId="0"/>
    <xf borderId="0" fillId="0" fontId="6" numFmtId="0"/>
    <xf borderId="0" fillId="0" fontId="6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0" numFmtId="0"/>
    <xf borderId="0" fillId="0" fontId="1" numFmtId="0"/>
    <xf borderId="0" fillId="0" fontId="6" numFmtId="0"/>
    <xf borderId="0" fillId="0" fontId="9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1" numFmtId="0"/>
    <xf borderId="0" fillId="0" fontId="6" numFmtId="0"/>
    <xf borderId="0" fillId="0" fontId="6" numFmtId="0"/>
    <xf borderId="0" fillId="0" fontId="6" numFmtId="0"/>
    <xf borderId="0" fillId="0" fontId="9" numFmtId="0"/>
    <xf borderId="0" fillId="0" fontId="1" numFmtId="0"/>
    <xf borderId="0" fillId="0" fontId="6" numFmtId="0"/>
    <xf borderId="0" fillId="0" fontId="7" numFmtId="0"/>
    <xf borderId="0" fillId="0" fontId="1" numFmtId="0"/>
  </cellStyleXfs>
  <cellXfs count="364">
    <xf borderId="0" fillId="0" fontId="0" numFmtId="0" xfId="0"/>
    <xf applyAlignment="1" borderId="0" fillId="0" fontId="0" numFmtId="0" xfId="0">
      <alignment horizontal="center"/>
    </xf>
    <xf borderId="1" fillId="0" fontId="8" numFmtId="0" xfId="31"/>
    <xf applyAlignment="1" borderId="1" fillId="0" fontId="0" numFmtId="0" xfId="0">
      <alignment horizontal="center" vertical="top"/>
    </xf>
    <xf applyAlignment="1" borderId="1" fillId="0" fontId="8" numFmtId="0" xfId="31">
      <alignment horizontal="center"/>
    </xf>
    <xf borderId="1" fillId="0" fontId="0" numFmtId="165" xfId="1"/>
    <xf borderId="1" fillId="4" fontId="8" numFmtId="0" xfId="31"/>
    <xf applyAlignment="1" borderId="3" fillId="0" fontId="0" numFmtId="0" xfId="0">
      <alignment horizontal="left" vertical="top"/>
    </xf>
    <xf borderId="1" fillId="4" fontId="0" numFmtId="165" xfId="1"/>
    <xf applyAlignment="1" borderId="3" fillId="0" fontId="8" numFmtId="0" xfId="31">
      <alignment horizontal="left"/>
    </xf>
    <xf applyAlignment="1" borderId="1" fillId="0" fontId="8" numFmtId="0" xfId="31">
      <alignment horizontal="left"/>
    </xf>
    <xf borderId="9" fillId="4" fontId="0" numFmtId="165" xfId="1"/>
    <xf applyAlignment="1" borderId="1" fillId="0" fontId="0" numFmtId="0" xfId="0">
      <alignment vertical="top"/>
    </xf>
    <xf applyAlignment="1" borderId="1" fillId="0" fontId="0" numFmtId="165" xfId="1">
      <alignment horizontal="center"/>
    </xf>
    <xf borderId="0" fillId="0" fontId="0" numFmtId="0" xfId="0"/>
    <xf borderId="1" fillId="4" fontId="0" numFmtId="165" xfId="1"/>
    <xf borderId="9" fillId="4" fontId="0" numFmtId="165" xfId="1"/>
    <xf applyAlignment="1" borderId="1" fillId="0" fontId="8" numFmtId="165" xfId="1">
      <alignment horizontal="center"/>
    </xf>
    <xf applyAlignment="1" borderId="1" fillId="0" fontId="8" numFmtId="168" xfId="1">
      <alignment horizontal="center"/>
    </xf>
    <xf applyAlignment="1" borderId="1" fillId="0" fontId="0" numFmtId="168" xfId="1">
      <alignment horizontal="center"/>
    </xf>
    <xf applyAlignment="1" borderId="1" fillId="0" fontId="0" numFmtId="168" xfId="1">
      <alignment horizontal="center"/>
    </xf>
    <xf applyAlignment="1" borderId="10" fillId="0" fontId="11" numFmtId="0" xfId="34">
      <alignment horizontal="center"/>
    </xf>
    <xf borderId="0" fillId="0" fontId="12" numFmtId="0" xfId="0"/>
    <xf applyAlignment="1" borderId="0" fillId="0" fontId="12" numFmtId="0" xfId="0">
      <alignment horizontal="center"/>
    </xf>
    <xf applyAlignment="1" borderId="1" fillId="0" fontId="7" numFmtId="14" xfId="0">
      <alignment horizontal="center"/>
    </xf>
    <xf applyAlignment="1" borderId="1" fillId="0" fontId="0" numFmtId="14" xfId="0">
      <alignment horizontal="center"/>
    </xf>
    <xf applyAlignment="1" borderId="1" fillId="4" fontId="0" numFmtId="0" xfId="0">
      <alignment horizontal="center"/>
    </xf>
    <xf applyAlignment="1" borderId="1" fillId="4" fontId="0" numFmtId="14" xfId="0">
      <alignment horizontal="center"/>
    </xf>
    <xf applyAlignment="1" borderId="1" fillId="0" fontId="0" numFmtId="168" xfId="0">
      <alignment horizontal="center"/>
    </xf>
    <xf applyAlignment="1" borderId="9" fillId="4" fontId="0" numFmtId="0" xfId="0">
      <alignment horizontal="center"/>
    </xf>
    <xf applyAlignment="1" borderId="9" fillId="4" fontId="0" numFmtId="14" xfId="0">
      <alignment horizontal="center"/>
    </xf>
    <xf applyAlignment="1" borderId="1" fillId="0" fontId="0" numFmtId="0" xfId="0">
      <alignment horizontal="center"/>
    </xf>
    <xf applyAlignment="1" borderId="1" fillId="0" fontId="0" numFmtId="0" xfId="0">
      <alignment horizontal="left"/>
    </xf>
    <xf borderId="1" fillId="0" fontId="0" numFmtId="0" xfId="0"/>
    <xf applyAlignment="1" borderId="1" fillId="0" fontId="7" numFmtId="0" xfId="0">
      <alignment horizontal="center"/>
    </xf>
    <xf applyAlignment="1" borderId="1" fillId="0" fontId="7" numFmtId="0" xfId="0">
      <alignment horizontal="left"/>
    </xf>
    <xf applyAlignment="1" borderId="1" fillId="0" fontId="7" numFmtId="165" xfId="1">
      <alignment horizontal="center"/>
    </xf>
    <xf applyAlignment="1" borderId="1" fillId="0" fontId="7" numFmtId="10" xfId="2">
      <alignment horizontal="right"/>
    </xf>
    <xf applyAlignment="1" borderId="1" fillId="0" fontId="0" numFmtId="165" xfId="1">
      <alignment horizontal="center"/>
    </xf>
    <xf applyAlignment="1" borderId="1" fillId="0" fontId="7" numFmtId="165" xfId="1">
      <alignment horizontal="left"/>
    </xf>
    <xf applyAlignment="1" borderId="1" fillId="0" fontId="7" numFmtId="10" xfId="0">
      <alignment horizontal="right"/>
    </xf>
    <xf applyAlignment="1" borderId="2" fillId="0" fontId="7" numFmtId="0" xfId="0">
      <alignment horizontal="center"/>
    </xf>
    <xf applyAlignment="1" borderId="2" fillId="4" fontId="0" numFmtId="0" xfId="0">
      <alignment horizontal="left"/>
    </xf>
    <xf applyAlignment="1" borderId="14" fillId="0" fontId="11" numFmtId="0" xfId="34">
      <alignment horizontal="center"/>
    </xf>
    <xf applyAlignment="1" borderId="2" fillId="0" fontId="0" numFmtId="0" xfId="0">
      <alignment horizontal="center"/>
    </xf>
    <xf applyAlignment="1" borderId="12" fillId="0" fontId="0" numFmtId="168" xfId="1">
      <alignment horizontal="center"/>
    </xf>
    <xf applyAlignment="1" borderId="13" fillId="0" fontId="11" numFmtId="0" xfId="34">
      <alignment horizontal="center"/>
    </xf>
    <xf applyAlignment="1" borderId="1" fillId="4" fontId="0" numFmtId="10" xfId="2">
      <alignment horizontal="right"/>
    </xf>
    <xf applyAlignment="1" borderId="1" fillId="0" fontId="0" numFmtId="10" xfId="2">
      <alignment horizontal="right"/>
    </xf>
    <xf applyAlignment="1" borderId="0" fillId="0" fontId="0" numFmtId="0" xfId="0">
      <alignment horizontal="right"/>
    </xf>
    <xf applyAlignment="1" borderId="1" fillId="4" fontId="0" numFmtId="165" xfId="1">
      <alignment horizontal="center"/>
    </xf>
    <xf applyAlignment="1" borderId="1" fillId="0" fontId="1" numFmtId="165" xfId="1">
      <alignment horizontal="center"/>
    </xf>
    <xf applyAlignment="1" borderId="1" fillId="0" fontId="1" numFmtId="165" xfId="1">
      <alignment horizontal="center"/>
    </xf>
    <xf applyAlignment="1" borderId="1" fillId="0" fontId="1" numFmtId="168" xfId="1">
      <alignment horizontal="center"/>
    </xf>
    <xf applyAlignment="1" borderId="15" fillId="4" fontId="0" numFmtId="0" xfId="0">
      <alignment horizontal="left"/>
    </xf>
    <xf applyAlignment="1" borderId="16" fillId="4" fontId="0" numFmtId="0" xfId="0">
      <alignment horizontal="center"/>
    </xf>
    <xf applyAlignment="1" borderId="17" fillId="4" fontId="0" numFmtId="14" xfId="0">
      <alignment horizontal="center"/>
    </xf>
    <xf applyAlignment="1" borderId="16" fillId="4" fontId="0" numFmtId="165" xfId="1">
      <alignment horizontal="center"/>
    </xf>
    <xf applyAlignment="1" borderId="16" fillId="4" fontId="0" numFmtId="10" xfId="2">
      <alignment horizontal="right"/>
    </xf>
    <xf borderId="17" fillId="4" fontId="0" numFmtId="165" xfId="1"/>
    <xf borderId="17" fillId="4" fontId="0" numFmtId="165" xfId="1"/>
    <xf applyAlignment="1" borderId="17" fillId="4" fontId="0" numFmtId="0" xfId="0">
      <alignment horizontal="center"/>
    </xf>
    <xf applyAlignment="1" borderId="16" fillId="0" fontId="0" numFmtId="14" xfId="0">
      <alignment horizontal="center"/>
    </xf>
    <xf applyAlignment="1" borderId="18" fillId="0" fontId="11" numFmtId="0" xfId="34">
      <alignment horizontal="center"/>
    </xf>
    <xf applyAlignment="1" borderId="0" fillId="5" fontId="14" numFmtId="0" xfId="0">
      <alignment horizontal="center" wrapText="1"/>
    </xf>
    <xf applyAlignment="1" borderId="0" fillId="6" fontId="14" numFmtId="9" xfId="0">
      <alignment horizontal="center"/>
    </xf>
    <xf applyAlignment="1" borderId="0" fillId="0" fontId="0" numFmtId="9" xfId="0">
      <alignment horizontal="center"/>
    </xf>
    <xf applyAlignment="1" borderId="0" fillId="0" fontId="0" numFmtId="10" xfId="0">
      <alignment horizontal="center"/>
    </xf>
    <xf borderId="0" fillId="0" fontId="12" numFmtId="167" xfId="0"/>
    <xf applyAlignment="1" borderId="4" fillId="4" fontId="0" numFmtId="0" xfId="0">
      <alignment horizontal="left"/>
    </xf>
    <xf applyAlignment="1" borderId="11" fillId="4" fontId="0" numFmtId="0" xfId="0">
      <alignment horizontal="left"/>
    </xf>
    <xf applyAlignment="1" borderId="2" fillId="3" fontId="2" numFmtId="0" xfId="0">
      <alignment horizontal="center" wrapText="1"/>
    </xf>
    <xf applyAlignment="1" borderId="4" fillId="0" fontId="7" numFmtId="0" xfId="0">
      <alignment horizontal="center"/>
    </xf>
    <xf applyAlignment="1" borderId="2" fillId="2" fontId="3" numFmtId="0" xfId="0">
      <alignment horizontal="center" vertical="center" wrapText="1"/>
    </xf>
    <xf borderId="5" fillId="0" fontId="8" numFmtId="0" xfId="31"/>
    <xf applyAlignment="1" borderId="12" fillId="0" fontId="0" numFmtId="0" xfId="0">
      <alignment vertical="top"/>
    </xf>
    <xf applyAlignment="1" borderId="1" fillId="2" fontId="3" numFmtId="0" xfId="0">
      <alignment horizontal="center" vertical="center" wrapText="1"/>
    </xf>
    <xf applyAlignment="1" borderId="5" fillId="0" fontId="7" numFmtId="0" xfId="0">
      <alignment horizontal="left"/>
    </xf>
    <xf applyAlignment="1" borderId="16" fillId="0" fontId="0" numFmtId="0" xfId="0">
      <alignment vertical="top"/>
    </xf>
    <xf applyAlignment="1" borderId="5" fillId="0" fontId="8" numFmtId="0" xfId="31">
      <alignment horizontal="left"/>
    </xf>
    <xf applyAlignment="1" borderId="1" fillId="0" fontId="0" numFmtId="0" xfId="0">
      <alignment horizontal="left" vertical="top"/>
    </xf>
    <xf applyAlignment="1" borderId="12" fillId="0" fontId="0" numFmtId="0" xfId="0">
      <alignment horizontal="left" vertical="top"/>
    </xf>
    <xf applyAlignment="1" borderId="3" fillId="2" fontId="3" numFmtId="0" xfId="0">
      <alignment horizontal="center" vertical="center" wrapText="1"/>
    </xf>
    <xf applyAlignment="1" borderId="16" fillId="0" fontId="0" numFmtId="0" xfId="0">
      <alignment horizontal="left" vertical="top"/>
    </xf>
    <xf applyAlignment="1" borderId="5" fillId="0" fontId="8" numFmtId="0" xfId="31">
      <alignment horizontal="center"/>
    </xf>
    <xf applyAlignment="1" borderId="12" fillId="0" fontId="0" numFmtId="0" xfId="0">
      <alignment horizontal="center" vertical="top"/>
    </xf>
    <xf applyAlignment="1" borderId="5" fillId="0" fontId="7" numFmtId="0" xfId="0">
      <alignment horizontal="center"/>
    </xf>
    <xf applyAlignment="1" borderId="16" fillId="0" fontId="0" numFmtId="0" xfId="0">
      <alignment horizontal="center" vertical="top"/>
    </xf>
    <xf applyAlignment="1" borderId="12" fillId="4" fontId="0" numFmtId="0" xfId="0">
      <alignment horizontal="center"/>
    </xf>
    <xf applyAlignment="1" borderId="5" fillId="4" fontId="0" numFmtId="14" xfId="0">
      <alignment horizontal="center"/>
    </xf>
    <xf applyAlignment="1" borderId="12" fillId="4" fontId="0" numFmtId="14" xfId="0">
      <alignment horizontal="center"/>
    </xf>
    <xf applyAlignment="1" borderId="1" fillId="2" fontId="3" numFmtId="14" xfId="0">
      <alignment horizontal="center" vertical="center"/>
    </xf>
    <xf applyAlignment="1" borderId="5" fillId="0" fontId="7" numFmtId="14" xfId="0">
      <alignment horizontal="center"/>
    </xf>
    <xf applyAlignment="1" borderId="1" fillId="2" fontId="3" numFmtId="14" xfId="0">
      <alignment horizontal="center" vertical="center" wrapText="1"/>
    </xf>
    <xf applyAlignment="1" borderId="5" fillId="4" fontId="0" numFmtId="165" xfId="1">
      <alignment horizontal="center"/>
    </xf>
    <xf applyAlignment="1" borderId="12" fillId="4" fontId="0" numFmtId="165" xfId="1">
      <alignment horizontal="center"/>
    </xf>
    <xf applyAlignment="1" borderId="1" fillId="2" fontId="3" numFmtId="165" xfId="1">
      <alignment horizontal="center" vertical="center" wrapText="1"/>
    </xf>
    <xf applyAlignment="1" borderId="5" fillId="0" fontId="7" numFmtId="165" xfId="1">
      <alignment horizontal="left"/>
    </xf>
    <xf applyAlignment="1" borderId="5" fillId="4" fontId="0" numFmtId="10" xfId="2">
      <alignment horizontal="right"/>
    </xf>
    <xf applyAlignment="1" borderId="12" fillId="4" fontId="0" numFmtId="10" xfId="2">
      <alignment horizontal="right"/>
    </xf>
    <xf applyAlignment="1" borderId="1" fillId="2" fontId="3" numFmtId="0" xfId="0">
      <alignment horizontal="right" vertical="center" wrapText="1"/>
    </xf>
    <xf borderId="5" fillId="4" fontId="0" numFmtId="165" xfId="1"/>
    <xf borderId="12" fillId="4" fontId="0" numFmtId="165" xfId="1"/>
    <xf borderId="5" fillId="4" fontId="0" numFmtId="165" xfId="1"/>
    <xf borderId="12" fillId="4" fontId="0" numFmtId="165" xfId="1"/>
    <xf borderId="9" fillId="4" fontId="0" numFmtId="164" xfId="1"/>
    <xf applyAlignment="1" borderId="5" fillId="4" fontId="0" numFmtId="0" xfId="0">
      <alignment horizontal="center"/>
    </xf>
    <xf applyAlignment="1" borderId="5" fillId="0" fontId="0" numFmtId="14" xfId="0">
      <alignment horizontal="center"/>
    </xf>
    <xf applyAlignment="1" borderId="12" fillId="0" fontId="0" numFmtId="14" xfId="0">
      <alignment horizontal="center"/>
    </xf>
    <xf applyAlignment="1" borderId="7" fillId="0" fontId="8" numFmtId="165" xfId="1">
      <alignment horizontal="center"/>
    </xf>
    <xf borderId="12" fillId="0" fontId="0" numFmtId="165" xfId="1"/>
    <xf applyAlignment="1" borderId="1" fillId="2" fontId="3" numFmtId="165" xfId="1">
      <alignment horizontal="left" vertical="center" wrapText="1"/>
    </xf>
    <xf applyAlignment="1" borderId="5" fillId="0" fontId="0" numFmtId="168" xfId="1">
      <alignment horizontal="center"/>
    </xf>
    <xf borderId="16" fillId="0" fontId="0" numFmtId="165" xfId="1"/>
    <xf applyAlignment="1" borderId="5" fillId="0" fontId="0" numFmtId="168" xfId="1">
      <alignment horizontal="center"/>
    </xf>
    <xf applyAlignment="1" borderId="1" fillId="3" fontId="5" numFmtId="165" xfId="1">
      <alignment horizontal="center" wrapText="1"/>
    </xf>
    <xf applyAlignment="1" borderId="1" fillId="4" fontId="0" numFmtId="168" xfId="1">
      <alignment horizontal="center"/>
    </xf>
    <xf applyAlignment="1" borderId="16" fillId="0" fontId="0" numFmtId="168" xfId="1">
      <alignment horizontal="center"/>
    </xf>
    <xf applyAlignment="1" borderId="3" fillId="3" fontId="5" numFmtId="165" xfId="1">
      <alignment horizontal="center" wrapText="1"/>
    </xf>
    <xf applyAlignment="1" borderId="6" fillId="0" fontId="11" numFmtId="0" xfId="34">
      <alignment horizontal="center"/>
    </xf>
    <xf applyAlignment="1" borderId="10" fillId="3" fontId="4" numFmtId="0" xfId="0">
      <alignment horizontal="center" wrapText="1"/>
    </xf>
    <xf applyAlignment="1" borderId="2" fillId="8" fontId="0" numFmtId="0" xfId="0">
      <alignment horizontal="left"/>
    </xf>
    <xf borderId="1" fillId="8" fontId="8" numFmtId="0" xfId="31"/>
    <xf applyAlignment="1" borderId="3" fillId="8" fontId="8" numFmtId="0" xfId="31">
      <alignment horizontal="left"/>
    </xf>
    <xf applyAlignment="1" borderId="1" fillId="8" fontId="8" numFmtId="0" xfId="31">
      <alignment horizontal="center"/>
    </xf>
    <xf applyAlignment="1" borderId="1" fillId="8" fontId="0" numFmtId="0" xfId="0">
      <alignment horizontal="center"/>
    </xf>
    <xf applyAlignment="1" borderId="1" fillId="8" fontId="0" numFmtId="14" xfId="0">
      <alignment horizontal="center"/>
    </xf>
    <xf applyAlignment="1" borderId="1" fillId="8" fontId="0" numFmtId="165" xfId="1">
      <alignment horizontal="center"/>
    </xf>
    <xf applyAlignment="1" borderId="1" fillId="8" fontId="0" numFmtId="10" xfId="2">
      <alignment horizontal="right"/>
    </xf>
    <xf borderId="1" fillId="8" fontId="0" numFmtId="165" xfId="1"/>
    <xf borderId="1" fillId="8" fontId="0" numFmtId="165" xfId="1"/>
    <xf applyAlignment="1" borderId="1" fillId="8" fontId="0" numFmtId="168" xfId="1">
      <alignment horizontal="center"/>
    </xf>
    <xf applyAlignment="1" borderId="7" fillId="0" fontId="0" numFmtId="168" xfId="1">
      <alignment horizontal="center" wrapText="1"/>
    </xf>
    <xf applyAlignment="1" borderId="3" fillId="0" fontId="0" numFmtId="168" xfId="1">
      <alignment horizontal="center" wrapText="1"/>
    </xf>
    <xf applyAlignment="1" borderId="3" fillId="0" fontId="0" numFmtId="168" xfId="1">
      <alignment horizontal="center" wrapText="1"/>
    </xf>
    <xf applyAlignment="1" borderId="3" fillId="0" fontId="8" numFmtId="168" xfId="1">
      <alignment horizontal="center" wrapText="1"/>
    </xf>
    <xf applyAlignment="1" borderId="19" fillId="4" fontId="0" numFmtId="168" xfId="1">
      <alignment horizontal="center" wrapText="1"/>
    </xf>
    <xf applyAlignment="1" borderId="19" fillId="0" fontId="0" numFmtId="168" xfId="1">
      <alignment horizontal="center" wrapText="1"/>
    </xf>
    <xf applyAlignment="1" borderId="19" fillId="0" fontId="8" numFmtId="168" xfId="1">
      <alignment horizontal="center" wrapText="1"/>
    </xf>
    <xf applyAlignment="1" borderId="20" fillId="0" fontId="0" numFmtId="168" xfId="1">
      <alignment horizontal="center" wrapText="1"/>
    </xf>
    <xf applyAlignment="1" borderId="7" fillId="0" fontId="0" numFmtId="168" xfId="1">
      <alignment horizontal="center" wrapText="1"/>
    </xf>
    <xf applyAlignment="1" borderId="3" fillId="0" fontId="0" numFmtId="168" xfId="0">
      <alignment horizontal="center" wrapText="1"/>
    </xf>
    <xf applyAlignment="1" borderId="21" fillId="0" fontId="0" numFmtId="168" xfId="1">
      <alignment horizontal="center" wrapText="1"/>
    </xf>
    <xf applyAlignment="1" borderId="0" fillId="0" fontId="0" numFmtId="0" xfId="0">
      <alignment wrapText="1"/>
    </xf>
    <xf applyAlignment="1" borderId="10" fillId="7" fontId="11" numFmtId="0" xfId="34">
      <alignment horizontal="center"/>
    </xf>
    <xf borderId="0" fillId="7" fontId="12" numFmtId="0" xfId="0"/>
    <xf applyAlignment="1" borderId="3" fillId="9" fontId="0" numFmtId="168" xfId="1">
      <alignment horizontal="left" vertical="center" wrapText="1"/>
    </xf>
    <xf applyAlignment="1" borderId="1" fillId="9" fontId="0" numFmtId="0" xfId="0">
      <alignment horizontal="center" vertical="top"/>
    </xf>
    <xf applyAlignment="1" borderId="1" fillId="9" fontId="0" numFmtId="0" xfId="0">
      <alignment horizontal="center"/>
    </xf>
    <xf applyAlignment="1" borderId="9" fillId="9" fontId="0" numFmtId="14" xfId="0">
      <alignment horizontal="center"/>
    </xf>
    <xf applyAlignment="1" borderId="1" fillId="9" fontId="0" numFmtId="165" xfId="1">
      <alignment horizontal="center"/>
    </xf>
    <xf applyAlignment="1" borderId="1" fillId="9" fontId="0" numFmtId="10" xfId="2">
      <alignment horizontal="right"/>
    </xf>
    <xf borderId="9" fillId="9" fontId="0" numFmtId="165" xfId="1"/>
    <xf borderId="9" fillId="9" fontId="0" numFmtId="165" xfId="1"/>
    <xf applyAlignment="1" borderId="9" fillId="9" fontId="0" numFmtId="0" xfId="0">
      <alignment horizontal="center"/>
    </xf>
    <xf applyAlignment="1" borderId="1" fillId="9" fontId="0" numFmtId="14" xfId="0">
      <alignment horizontal="center"/>
    </xf>
    <xf borderId="1" fillId="9" fontId="0" numFmtId="165" xfId="1"/>
    <xf applyAlignment="1" borderId="1" fillId="9" fontId="0" numFmtId="168" xfId="1">
      <alignment horizontal="center"/>
    </xf>
    <xf applyAlignment="1" borderId="1" fillId="9" fontId="7" numFmtId="0" xfId="0">
      <alignment horizontal="center"/>
    </xf>
    <xf applyAlignment="1" borderId="1" fillId="9" fontId="7" numFmtId="14" xfId="0">
      <alignment horizontal="center"/>
    </xf>
    <xf applyAlignment="1" borderId="1" fillId="9" fontId="7" numFmtId="165" xfId="1">
      <alignment horizontal="center"/>
    </xf>
    <xf applyAlignment="1" borderId="1" fillId="9" fontId="7" numFmtId="10" xfId="0">
      <alignment horizontal="right"/>
    </xf>
    <xf applyAlignment="1" borderId="1" fillId="9" fontId="7" numFmtId="165" xfId="1">
      <alignment horizontal="left"/>
    </xf>
    <xf applyAlignment="1" borderId="2" fillId="9" fontId="0" numFmtId="0" xfId="0">
      <alignment horizontal="left"/>
    </xf>
    <xf applyAlignment="1" borderId="1" fillId="9" fontId="0" numFmtId="0" xfId="0">
      <alignment vertical="top"/>
    </xf>
    <xf applyAlignment="1" borderId="1" fillId="9" fontId="0" numFmtId="0" xfId="0">
      <alignment horizontal="left" vertical="top"/>
    </xf>
    <xf applyAlignment="1" borderId="2" fillId="9" fontId="15" numFmtId="0" xfId="0">
      <alignment horizontal="center"/>
    </xf>
    <xf applyAlignment="1" borderId="1" fillId="9" fontId="15" numFmtId="0" xfId="0">
      <alignment horizontal="left"/>
    </xf>
    <xf applyAlignment="1" borderId="1" fillId="9" fontId="15" numFmtId="0" xfId="0">
      <alignment horizontal="center"/>
    </xf>
    <xf applyAlignment="1" borderId="9" fillId="9" fontId="15" numFmtId="14" xfId="0">
      <alignment horizontal="center"/>
    </xf>
    <xf applyAlignment="1" borderId="1" fillId="9" fontId="15" numFmtId="165" xfId="1">
      <alignment horizontal="center"/>
    </xf>
    <xf applyAlignment="1" borderId="1" fillId="9" fontId="15" numFmtId="10" xfId="0">
      <alignment horizontal="right"/>
    </xf>
    <xf applyAlignment="1" borderId="9" fillId="9" fontId="15" numFmtId="165" xfId="1">
      <alignment horizontal="left"/>
    </xf>
    <xf applyAlignment="1" borderId="9" fillId="9" fontId="15" numFmtId="0" xfId="0">
      <alignment horizontal="center"/>
    </xf>
    <xf applyAlignment="1" borderId="1" fillId="9" fontId="15" numFmtId="14" xfId="0">
      <alignment horizontal="center"/>
    </xf>
    <xf borderId="1" fillId="9" fontId="15" numFmtId="165" xfId="1"/>
    <xf applyAlignment="1" borderId="1" fillId="9" fontId="15" numFmtId="168" xfId="1">
      <alignment horizontal="center"/>
    </xf>
    <xf applyAlignment="1" borderId="2" fillId="9" fontId="7" numFmtId="0" xfId="0">
      <alignment horizontal="center"/>
    </xf>
    <xf applyAlignment="1" borderId="1" fillId="9" fontId="7" numFmtId="0" xfId="0">
      <alignment horizontal="left"/>
    </xf>
    <xf applyAlignment="1" borderId="1" fillId="8" fontId="8" numFmtId="165" xfId="1">
      <alignment horizontal="center"/>
    </xf>
    <xf borderId="1" fillId="9" fontId="8" numFmtId="0" xfId="31"/>
    <xf applyAlignment="1" borderId="3" fillId="9" fontId="8" numFmtId="0" xfId="31">
      <alignment horizontal="left"/>
    </xf>
    <xf applyAlignment="1" borderId="1" fillId="9" fontId="8" numFmtId="0" xfId="31">
      <alignment horizontal="center"/>
    </xf>
    <xf borderId="1" fillId="9" fontId="0" numFmtId="165" xfId="1"/>
    <xf applyAlignment="1" borderId="0" fillId="9" fontId="0" numFmtId="9" xfId="0">
      <alignment horizontal="center"/>
    </xf>
    <xf applyAlignment="1" borderId="0" fillId="9" fontId="0" numFmtId="10" xfId="0">
      <alignment horizontal="center"/>
    </xf>
    <xf applyAlignment="1" borderId="3" fillId="9" fontId="0" numFmtId="168" xfId="1">
      <alignment horizontal="center" wrapText="1"/>
    </xf>
    <xf applyAlignment="1" borderId="10" fillId="9" fontId="11" numFmtId="0" xfId="34">
      <alignment horizontal="center"/>
    </xf>
    <xf borderId="0" fillId="9" fontId="0" numFmtId="0" xfId="0"/>
    <xf applyAlignment="1" borderId="0" fillId="9" fontId="12" numFmtId="168" xfId="0">
      <alignment horizontal="center"/>
    </xf>
    <xf applyAlignment="1" borderId="0" fillId="0" fontId="12" numFmtId="168" xfId="0">
      <alignment horizontal="center"/>
    </xf>
    <xf applyAlignment="1" borderId="0" fillId="7" fontId="12" numFmtId="168" xfId="0">
      <alignment horizontal="center"/>
    </xf>
    <xf applyAlignment="1" borderId="3" fillId="4" fontId="8" numFmtId="0" xfId="31">
      <alignment horizontal="left"/>
    </xf>
    <xf applyAlignment="1" borderId="1" fillId="4" fontId="8" numFmtId="0" xfId="31">
      <alignment horizontal="center"/>
    </xf>
    <xf borderId="1" fillId="9" fontId="0" numFmtId="0" xfId="0"/>
    <xf applyAlignment="1" borderId="3" fillId="9" fontId="0" numFmtId="0" xfId="0">
      <alignment horizontal="left"/>
    </xf>
    <xf applyAlignment="1" borderId="1" fillId="9" fontId="8" numFmtId="168" xfId="1">
      <alignment horizontal="center"/>
    </xf>
    <xf applyAlignment="1" borderId="0" fillId="8" fontId="0" numFmtId="9" xfId="0">
      <alignment horizontal="center"/>
    </xf>
    <xf applyAlignment="1" borderId="0" fillId="8" fontId="0" numFmtId="10" xfId="0">
      <alignment horizontal="center"/>
    </xf>
    <xf applyAlignment="1" borderId="0" fillId="8" fontId="12" numFmtId="168" xfId="0">
      <alignment horizontal="center"/>
    </xf>
    <xf applyAlignment="1" borderId="3" fillId="8" fontId="0" numFmtId="168" xfId="1">
      <alignment horizontal="center" wrapText="1"/>
    </xf>
    <xf applyAlignment="1" borderId="10" fillId="8" fontId="11" numFmtId="0" xfId="34">
      <alignment horizontal="center"/>
    </xf>
    <xf borderId="0" fillId="8" fontId="0" numFmtId="0" xfId="0"/>
    <xf applyAlignment="1" borderId="8" fillId="9" fontId="0" numFmtId="0" xfId="0">
      <alignment vertical="center"/>
    </xf>
    <xf applyAlignment="1" borderId="3" fillId="9" fontId="0" numFmtId="0" xfId="0">
      <alignment horizontal="left" vertical="center"/>
    </xf>
    <xf applyAlignment="1" borderId="1" fillId="9" fontId="0" numFmtId="0" xfId="0">
      <alignment horizontal="center" vertical="center"/>
    </xf>
    <xf applyAlignment="1" borderId="3" fillId="9" fontId="0" numFmtId="0" xfId="0">
      <alignment horizontal="left" vertical="top"/>
    </xf>
    <xf applyAlignment="1" borderId="4" fillId="2" fontId="16" numFmtId="0" xfId="0">
      <alignment horizontal="left" wrapText="1"/>
    </xf>
    <xf applyAlignment="1" borderId="5" fillId="2" fontId="16" numFmtId="0" xfId="0">
      <alignment horizontal="center" wrapText="1"/>
    </xf>
    <xf applyAlignment="1" borderId="5" fillId="2" fontId="16" numFmtId="0" xfId="0">
      <alignment horizontal="center" vertical="center" wrapText="1"/>
    </xf>
    <xf applyAlignment="1" borderId="5" fillId="2" fontId="16" numFmtId="14" xfId="0">
      <alignment horizontal="center" vertical="center" wrapText="1"/>
    </xf>
    <xf applyAlignment="1" borderId="5" fillId="2" fontId="16" numFmtId="165" xfId="1">
      <alignment horizontal="center" vertical="center" wrapText="1"/>
    </xf>
    <xf applyAlignment="1" borderId="2" fillId="0" fontId="17" numFmtId="0" xfId="0">
      <alignment horizontal="left"/>
    </xf>
    <xf borderId="1" fillId="0" fontId="0" numFmtId="0" xfId="0"/>
    <xf applyAlignment="1" borderId="1" fillId="4" fontId="0" numFmtId="10" xfId="2">
      <alignment horizontal="center"/>
    </xf>
    <xf borderId="1" fillId="0" fontId="17" numFmtId="0" xfId="0"/>
    <xf applyAlignment="1" borderId="1" fillId="0" fontId="17" numFmtId="0" xfId="0">
      <alignment horizontal="left"/>
    </xf>
    <xf applyAlignment="1" borderId="2" fillId="0" fontId="0" numFmtId="0" xfId="0">
      <alignment horizontal="left"/>
    </xf>
    <xf borderId="1" fillId="0" fontId="0" numFmtId="0" xfId="0"/>
    <xf applyAlignment="1" borderId="1" fillId="0" fontId="0" numFmtId="0" xfId="0">
      <alignment horizontal="left"/>
    </xf>
    <xf applyAlignment="1" borderId="1" fillId="0" fontId="0" numFmtId="0" xfId="0">
      <alignment horizontal="center"/>
    </xf>
    <xf applyAlignment="1" borderId="2" fillId="0" fontId="0" numFmtId="0" xfId="0">
      <alignment horizontal="left"/>
    </xf>
    <xf applyAlignment="1" borderId="1" fillId="0" fontId="0" numFmtId="10" xfId="2">
      <alignment horizontal="center"/>
    </xf>
    <xf applyAlignment="1" borderId="1" fillId="0" fontId="0" numFmtId="165" xfId="1">
      <alignment horizontal="center"/>
    </xf>
    <xf applyAlignment="1" borderId="2" fillId="0" fontId="18" numFmtId="0" xfId="31">
      <alignment horizontal="left"/>
    </xf>
    <xf borderId="1" fillId="4" fontId="18" numFmtId="0" xfId="31"/>
    <xf applyAlignment="1" borderId="1" fillId="0" fontId="18" numFmtId="0" xfId="31">
      <alignment horizontal="left"/>
    </xf>
    <xf applyAlignment="1" borderId="1" fillId="0" fontId="18" numFmtId="0" xfId="31">
      <alignment horizontal="center"/>
    </xf>
    <xf applyProtection="1" borderId="1" fillId="0" fontId="18" numFmtId="0" xfId="31">
      <protection hidden="0" locked="0"/>
    </xf>
    <xf applyAlignment="1" applyProtection="1" borderId="1" fillId="0" fontId="18" numFmtId="0" xfId="31">
      <alignment horizontal="left"/>
      <protection hidden="0" locked="0"/>
    </xf>
    <xf applyAlignment="1" applyProtection="1" borderId="1" fillId="0" fontId="18" numFmtId="0" xfId="31">
      <alignment horizontal="center"/>
      <protection hidden="0" locked="0"/>
    </xf>
    <xf applyAlignment="1" borderId="2" fillId="4" fontId="0" numFmtId="0" xfId="0">
      <alignment horizontal="left"/>
    </xf>
    <xf borderId="1" fillId="0" fontId="18" numFmtId="0" xfId="31"/>
    <xf applyAlignment="1" borderId="1" fillId="0" fontId="18" numFmtId="0" xfId="31">
      <alignment horizontal="center" wrapText="1"/>
    </xf>
    <xf applyAlignment="1" borderId="1" fillId="4" fontId="0" numFmtId="14" xfId="1">
      <alignment horizontal="center"/>
    </xf>
    <xf applyAlignment="1" borderId="1" fillId="0" fontId="18" numFmtId="10" xfId="2">
      <alignment horizontal="center" wrapText="1"/>
    </xf>
    <xf applyAlignment="1" borderId="1" fillId="4" fontId="18" numFmtId="0" xfId="31">
      <alignment horizontal="left"/>
    </xf>
    <xf applyAlignment="1" borderId="1" fillId="4" fontId="18" numFmtId="0" xfId="31">
      <alignment horizontal="center"/>
    </xf>
    <xf applyAlignment="1" borderId="1" fillId="4" fontId="18" numFmtId="10" xfId="2">
      <alignment horizontal="center" wrapText="1"/>
    </xf>
    <xf applyAlignment="1" borderId="2" fillId="3" fontId="2" numFmtId="0" xfId="0">
      <alignment horizontal="left" wrapText="1"/>
    </xf>
    <xf applyAlignment="1" borderId="1" fillId="2" fontId="16" numFmtId="0" xfId="0">
      <alignment horizontal="center" wrapText="1"/>
    </xf>
    <xf applyAlignment="1" borderId="1" fillId="2" fontId="16" numFmtId="0" xfId="0">
      <alignment horizontal="left" wrapText="1"/>
    </xf>
    <xf applyAlignment="1" borderId="1" fillId="2" fontId="16" numFmtId="0" xfId="0">
      <alignment horizontal="center" vertical="center" wrapText="1"/>
    </xf>
    <xf applyAlignment="1" borderId="1" fillId="2" fontId="16" numFmtId="14" xfId="0">
      <alignment horizontal="center" vertical="center"/>
    </xf>
    <xf applyAlignment="1" borderId="1" fillId="2" fontId="16" numFmtId="165" xfId="1">
      <alignment horizontal="center" vertical="center" wrapText="1"/>
    </xf>
    <xf applyAlignment="1" borderId="1" fillId="0" fontId="17" numFmtId="0" xfId="0">
      <alignment horizontal="center"/>
    </xf>
    <xf applyAlignment="1" borderId="1" fillId="0" fontId="17" numFmtId="14" xfId="0">
      <alignment horizontal="center"/>
    </xf>
    <xf applyAlignment="1" borderId="1" fillId="0" fontId="17" numFmtId="165" xfId="1">
      <alignment horizontal="center"/>
    </xf>
    <xf applyAlignment="1" borderId="1" fillId="0" fontId="17" numFmtId="10" xfId="2">
      <alignment horizontal="center"/>
    </xf>
    <xf applyAlignment="1" borderId="1" fillId="0" fontId="17" numFmtId="10" xfId="0">
      <alignment horizontal="center"/>
    </xf>
    <xf applyAlignment="1" borderId="1" fillId="0" fontId="17" numFmtId="165" xfId="1">
      <alignment horizontal="left"/>
    </xf>
    <xf applyAlignment="1" borderId="2" fillId="0" fontId="18" numFmtId="0" xfId="0">
      <alignment horizontal="left"/>
    </xf>
    <xf applyAlignment="1" borderId="1" fillId="0" fontId="18" numFmtId="0" xfId="0">
      <alignment horizontal="left"/>
    </xf>
    <xf applyAlignment="1" borderId="1" fillId="0" fontId="18" numFmtId="0" xfId="0">
      <alignment horizontal="center"/>
    </xf>
    <xf applyAlignment="1" borderId="1" fillId="0" fontId="18" numFmtId="0" xfId="0">
      <alignment horizontal="center"/>
    </xf>
    <xf applyAlignment="1" borderId="1" fillId="4" fontId="18" numFmtId="0" xfId="0">
      <alignment horizontal="left"/>
    </xf>
    <xf applyAlignment="1" borderId="1" fillId="4" fontId="18" numFmtId="0" xfId="0">
      <alignment horizontal="center"/>
    </xf>
    <xf applyAlignment="1" borderId="2" fillId="0" fontId="18" numFmtId="0" xfId="0">
      <alignment horizontal="left"/>
    </xf>
    <xf applyAlignment="1" borderId="1" fillId="0" fontId="18" numFmtId="0" xfId="9">
      <alignment horizontal="left"/>
    </xf>
    <xf applyAlignment="1" borderId="1" fillId="4" fontId="18" numFmtId="0" xfId="9">
      <alignment horizontal="left"/>
    </xf>
    <xf applyAlignment="1" borderId="1" fillId="0" fontId="18" numFmtId="0" xfId="9">
      <alignment horizontal="center"/>
    </xf>
    <xf applyAlignment="1" borderId="2" fillId="0" fontId="18" numFmtId="1" xfId="0">
      <alignment horizontal="left"/>
    </xf>
    <xf borderId="1" fillId="0" fontId="18" numFmtId="0" xfId="0"/>
    <xf applyAlignment="1" borderId="1" fillId="0" fontId="18" numFmtId="0" xfId="0">
      <alignment horizontal="left"/>
    </xf>
    <xf applyAlignment="1" borderId="1" fillId="0" fontId="18" numFmtId="0" xfId="0">
      <alignment horizontal="center" vertical="top"/>
    </xf>
    <xf applyAlignment="1" borderId="2" fillId="4" fontId="18" numFmtId="1" xfId="0">
      <alignment horizontal="left"/>
    </xf>
    <xf borderId="1" fillId="4" fontId="18" numFmtId="0" xfId="0"/>
    <xf applyAlignment="1" borderId="1" fillId="4" fontId="18" numFmtId="0" xfId="0">
      <alignment horizontal="center" vertical="top"/>
    </xf>
    <xf borderId="1" fillId="0" fontId="18" numFmtId="0" xfId="0"/>
    <xf applyAlignment="1" borderId="1" fillId="0" fontId="19" numFmtId="0" xfId="0">
      <alignment horizontal="left"/>
    </xf>
    <xf applyAlignment="1" borderId="1" fillId="0" fontId="19" numFmtId="0" xfId="0">
      <alignment horizontal="center"/>
    </xf>
    <xf applyAlignment="1" borderId="1" fillId="0" fontId="17" numFmtId="0" xfId="0">
      <alignment wrapText="1"/>
    </xf>
    <xf applyAlignment="1" borderId="1" fillId="0" fontId="17" numFmtId="0" xfId="0">
      <alignment horizontal="left" wrapText="1"/>
    </xf>
    <xf applyAlignment="1" borderId="1" fillId="0" fontId="17" numFmtId="0" xfId="0">
      <alignment horizontal="center" wrapText="1"/>
    </xf>
    <xf applyAlignment="1" borderId="11" fillId="4" fontId="0" numFmtId="0" xfId="28">
      <alignment horizontal="left"/>
    </xf>
    <xf applyAlignment="1" borderId="12" fillId="4" fontId="18" numFmtId="0" xfId="0">
      <alignment horizontal="left"/>
    </xf>
    <xf applyAlignment="1" borderId="12" fillId="4" fontId="18" numFmtId="0" xfId="0">
      <alignment horizontal="center"/>
    </xf>
    <xf applyAlignment="1" borderId="12" fillId="0" fontId="18" numFmtId="0" xfId="0">
      <alignment horizontal="center"/>
    </xf>
    <xf applyAlignment="1" borderId="12" fillId="0" fontId="17" numFmtId="165" xfId="1">
      <alignment horizontal="center"/>
    </xf>
    <xf applyAlignment="1" borderId="12" fillId="0" fontId="17" numFmtId="10" xfId="0">
      <alignment horizontal="center"/>
    </xf>
    <xf applyAlignment="1" borderId="12" fillId="0" fontId="0" numFmtId="165" xfId="1">
      <alignment horizontal="center"/>
    </xf>
    <xf applyAlignment="1" borderId="4" fillId="3" fontId="2" numFmtId="0" xfId="0">
      <alignment horizontal="left" wrapText="1"/>
    </xf>
    <xf applyAlignment="1" borderId="5" fillId="2" fontId="16" numFmtId="0" xfId="0">
      <alignment horizontal="left" wrapText="1"/>
    </xf>
    <xf applyAlignment="1" borderId="5" fillId="3" fontId="2" numFmtId="165" xfId="1">
      <alignment horizontal="center" wrapText="1"/>
    </xf>
    <xf applyAlignment="1" borderId="1" fillId="4" fontId="0" numFmtId="0" xfId="0">
      <alignment horizontal="left"/>
    </xf>
    <xf applyAlignment="1" borderId="1" fillId="4" fontId="0" numFmtId="49" xfId="0">
      <alignment horizontal="center"/>
    </xf>
    <xf applyAlignment="1" borderId="11" fillId="4" fontId="0" numFmtId="0" xfId="0">
      <alignment horizontal="left"/>
    </xf>
    <xf applyAlignment="1" borderId="12" fillId="4" fontId="0" numFmtId="0" xfId="0">
      <alignment horizontal="left"/>
    </xf>
    <xf applyAlignment="1" borderId="1" fillId="0" fontId="18" numFmtId="165" xfId="1">
      <alignment horizontal="center"/>
    </xf>
    <xf applyAlignment="1" borderId="1" fillId="0" fontId="18" numFmtId="14" xfId="31">
      <alignment horizontal="center" wrapText="1"/>
    </xf>
    <xf applyAlignment="1" borderId="1" fillId="0" fontId="18" numFmtId="165" xfId="1">
      <alignment horizontal="center" wrapText="1"/>
    </xf>
    <xf applyAlignment="1" borderId="1" fillId="4" fontId="18" numFmtId="14" xfId="31">
      <alignment horizontal="center" wrapText="1"/>
    </xf>
    <xf applyAlignment="1" borderId="1" fillId="4" fontId="18" numFmtId="165" xfId="1">
      <alignment horizontal="center" wrapText="1"/>
    </xf>
    <xf applyAlignment="1" borderId="1" fillId="4" fontId="18" numFmtId="14" xfId="31">
      <alignment horizontal="center"/>
    </xf>
    <xf applyAlignment="1" borderId="1" fillId="2" fontId="16" numFmtId="14" xfId="0">
      <alignment horizontal="center" vertical="center" wrapText="1"/>
    </xf>
    <xf applyAlignment="1" borderId="1" fillId="0" fontId="0" numFmtId="165" xfId="1">
      <alignment horizontal="center"/>
    </xf>
    <xf applyAlignment="1" borderId="12" fillId="0" fontId="0" numFmtId="0" xfId="0">
      <alignment horizontal="center"/>
    </xf>
    <xf applyAlignment="1" borderId="6" fillId="3" fontId="20" numFmtId="0" xfId="0">
      <alignment horizontal="center" wrapText="1"/>
    </xf>
    <xf applyAlignment="1" borderId="0" fillId="0" fontId="0" numFmtId="0" xfId="0">
      <alignment horizontal="center"/>
    </xf>
    <xf borderId="0" fillId="0" fontId="0" numFmtId="0" xfId="0"/>
    <xf applyAlignment="1" borderId="1" fillId="0" fontId="18" numFmtId="168" xfId="1">
      <alignment horizontal="center"/>
    </xf>
    <xf applyAlignment="1" borderId="1" fillId="4" fontId="18" numFmtId="168" xfId="1">
      <alignment horizontal="center"/>
    </xf>
    <xf applyAlignment="1" borderId="10" fillId="4" fontId="11" numFmtId="0" xfId="34">
      <alignment horizontal="center"/>
    </xf>
    <xf applyAlignment="1" borderId="1" fillId="3" fontId="2" numFmtId="165" xfId="1">
      <alignment horizontal="center" wrapText="1"/>
    </xf>
    <xf applyAlignment="1" borderId="10" fillId="3" fontId="20" numFmtId="0" xfId="0">
      <alignment horizontal="center" wrapText="1"/>
    </xf>
    <xf applyAlignment="1" borderId="12" fillId="0" fontId="0" numFmtId="168" xfId="0">
      <alignment horizontal="center"/>
    </xf>
    <xf applyAlignment="1" borderId="0" fillId="0" fontId="12" numFmtId="168" xfId="0">
      <alignment horizontal="center"/>
    </xf>
    <xf borderId="0" fillId="0" fontId="0" numFmtId="0" xfId="0"/>
    <xf applyAlignment="1" borderId="0" fillId="0" fontId="0" numFmtId="0" xfId="0">
      <alignment horizontal="center"/>
    </xf>
    <xf applyAlignment="1" borderId="0" fillId="0" fontId="12" numFmtId="167" xfId="0">
      <alignment horizontal="center"/>
    </xf>
    <xf applyAlignment="1" borderId="0" fillId="0" fontId="0" numFmtId="0" xfId="0">
      <alignment horizontal="center" wrapText="1"/>
    </xf>
    <xf applyAlignment="1" borderId="3" fillId="0" fontId="0" numFmtId="168" xfId="1">
      <alignment horizontal="center" vertical="center" wrapText="1"/>
    </xf>
    <xf applyAlignment="1" borderId="4" fillId="0" fontId="17" numFmtId="0" xfId="0">
      <alignment horizontal="left"/>
    </xf>
    <xf applyAlignment="1" borderId="2" fillId="2" fontId="16" numFmtId="0" xfId="0">
      <alignment horizontal="left" wrapText="1"/>
    </xf>
    <xf applyAlignment="1" borderId="5" fillId="0" fontId="17" numFmtId="0" xfId="0">
      <alignment horizontal="left"/>
    </xf>
    <xf applyAlignment="1" borderId="5" fillId="0" fontId="17" numFmtId="0" xfId="0">
      <alignment horizontal="center"/>
    </xf>
    <xf applyAlignment="1" borderId="5" fillId="0" fontId="17" numFmtId="14" xfId="0">
      <alignment horizontal="center"/>
    </xf>
    <xf applyAlignment="1" borderId="5" fillId="0" fontId="17" numFmtId="165" xfId="1">
      <alignment horizontal="center"/>
    </xf>
    <xf applyAlignment="1" borderId="5" fillId="0" fontId="17" numFmtId="10" xfId="0">
      <alignment horizontal="center"/>
    </xf>
    <xf applyAlignment="1" borderId="5" fillId="0" fontId="17" numFmtId="165" xfId="1">
      <alignment horizontal="left"/>
    </xf>
    <xf applyAlignment="1" borderId="5" fillId="0" fontId="0" numFmtId="165" xfId="1">
      <alignment horizontal="center"/>
    </xf>
    <xf applyAlignment="1" borderId="19" fillId="0" fontId="0" numFmtId="0" xfId="0">
      <alignment horizontal="center" wrapText="1"/>
    </xf>
    <xf applyAlignment="1" borderId="0" fillId="0" fontId="0" numFmtId="168" xfId="1">
      <alignment horizontal="center" wrapText="1"/>
    </xf>
    <xf applyAlignment="1" borderId="21" fillId="0" fontId="0" numFmtId="168" xfId="0">
      <alignment horizontal="center" wrapText="1"/>
    </xf>
    <xf applyAlignment="1" borderId="7" fillId="0" fontId="0" numFmtId="168" xfId="0">
      <alignment horizontal="center" wrapText="1"/>
    </xf>
    <xf applyAlignment="1" borderId="19" fillId="0" fontId="0" numFmtId="168" xfId="1">
      <alignment horizontal="center" wrapText="1"/>
    </xf>
    <xf applyAlignment="1" borderId="3" fillId="4" fontId="0" numFmtId="168" xfId="1">
      <alignment horizontal="center" wrapText="1"/>
    </xf>
    <xf applyAlignment="1" borderId="0" fillId="0" fontId="0" numFmtId="168" xfId="0">
      <alignment horizontal="center" wrapText="1"/>
    </xf>
    <xf applyAlignment="1" borderId="2" fillId="9" fontId="0" numFmtId="0" xfId="0">
      <alignment horizontal="left"/>
    </xf>
    <xf applyAlignment="1" borderId="1" fillId="9" fontId="0" numFmtId="0" xfId="0">
      <alignment horizontal="left"/>
    </xf>
    <xf applyAlignment="1" borderId="1" fillId="9" fontId="0" numFmtId="10" xfId="2">
      <alignment horizontal="center"/>
    </xf>
    <xf applyAlignment="1" borderId="1" fillId="9" fontId="18" numFmtId="165" xfId="1">
      <alignment horizontal="center"/>
    </xf>
    <xf applyAlignment="1" borderId="1" fillId="9" fontId="0" numFmtId="165" xfId="1">
      <alignment horizontal="center"/>
    </xf>
    <xf applyAlignment="1" borderId="1" fillId="9" fontId="18" numFmtId="14" xfId="31">
      <alignment horizontal="center" wrapText="1"/>
    </xf>
    <xf applyAlignment="1" borderId="1" fillId="9" fontId="18" numFmtId="165" xfId="1">
      <alignment horizontal="center" wrapText="1"/>
    </xf>
    <xf applyAlignment="1" borderId="1" fillId="9" fontId="18" numFmtId="168" xfId="1">
      <alignment horizontal="center"/>
    </xf>
    <xf applyAlignment="1" borderId="3" fillId="9" fontId="8" numFmtId="168" xfId="1">
      <alignment horizontal="center" wrapText="1"/>
    </xf>
    <xf applyAlignment="1" borderId="2" fillId="9" fontId="18" numFmtId="0" xfId="31">
      <alignment horizontal="left"/>
    </xf>
    <xf borderId="1" fillId="9" fontId="18" numFmtId="0" xfId="31"/>
    <xf applyAlignment="1" borderId="1" fillId="9" fontId="18" numFmtId="0" xfId="31">
      <alignment horizontal="left"/>
    </xf>
    <xf applyAlignment="1" borderId="1" fillId="9" fontId="18" numFmtId="0" xfId="31">
      <alignment horizontal="center"/>
    </xf>
    <xf applyProtection="1" borderId="1" fillId="9" fontId="18" numFmtId="0" xfId="31">
      <protection hidden="0" locked="0"/>
    </xf>
    <xf applyAlignment="1" applyProtection="1" borderId="1" fillId="9" fontId="18" numFmtId="0" xfId="31">
      <alignment horizontal="left"/>
      <protection hidden="0" locked="0"/>
    </xf>
    <xf applyAlignment="1" applyProtection="1" borderId="1" fillId="9" fontId="18" numFmtId="0" xfId="31">
      <alignment horizontal="center"/>
      <protection hidden="0" locked="0"/>
    </xf>
    <xf applyAlignment="1" borderId="19" fillId="9" fontId="0" numFmtId="168" xfId="1">
      <alignment horizontal="center" wrapText="1"/>
    </xf>
    <xf applyAlignment="1" borderId="19" fillId="9" fontId="8" numFmtId="168" xfId="1">
      <alignment horizontal="center" wrapText="1"/>
    </xf>
    <xf applyAlignment="1" borderId="1" fillId="9" fontId="18" numFmtId="10" xfId="2">
      <alignment horizontal="center" wrapText="1"/>
    </xf>
    <xf applyAlignment="1" borderId="7" fillId="9" fontId="0" numFmtId="168" xfId="1">
      <alignment horizontal="center" wrapText="1"/>
    </xf>
    <xf borderId="0" fillId="9" fontId="12" numFmtId="0" xfId="0"/>
    <xf applyAlignment="1" borderId="1" fillId="9" fontId="18" numFmtId="14" xfId="31">
      <alignment horizontal="center"/>
    </xf>
    <xf applyAlignment="1" borderId="2" fillId="9" fontId="17" numFmtId="0" xfId="0">
      <alignment horizontal="left"/>
    </xf>
    <xf applyAlignment="1" borderId="1" fillId="9" fontId="17" numFmtId="0" xfId="0">
      <alignment horizontal="left"/>
    </xf>
    <xf applyAlignment="1" borderId="1" fillId="9" fontId="17" numFmtId="0" xfId="0">
      <alignment horizontal="center"/>
    </xf>
    <xf applyAlignment="1" borderId="1" fillId="9" fontId="17" numFmtId="14" xfId="0">
      <alignment horizontal="center"/>
    </xf>
    <xf applyAlignment="1" borderId="1" fillId="9" fontId="17" numFmtId="165" xfId="1">
      <alignment horizontal="center"/>
    </xf>
    <xf applyAlignment="1" borderId="1" fillId="9" fontId="17" numFmtId="10" xfId="0">
      <alignment horizontal="center"/>
    </xf>
    <xf applyAlignment="1" borderId="1" fillId="9" fontId="17" numFmtId="165" xfId="1">
      <alignment horizontal="left"/>
    </xf>
    <xf applyAlignment="1" borderId="3" fillId="9" fontId="0" numFmtId="168" xfId="0">
      <alignment horizontal="center" wrapText="1"/>
    </xf>
    <xf applyAlignment="1" borderId="1" fillId="9" fontId="18" numFmtId="0" xfId="0">
      <alignment horizontal="left"/>
    </xf>
    <xf applyAlignment="1" borderId="1" fillId="9" fontId="18" numFmtId="0" xfId="0">
      <alignment horizontal="center"/>
    </xf>
    <xf applyAlignment="1" borderId="1" fillId="9" fontId="0" numFmtId="168" xfId="0">
      <alignment horizontal="center"/>
    </xf>
    <xf applyAlignment="1" borderId="0" fillId="9" fontId="0" numFmtId="0" xfId="0">
      <alignment horizontal="center"/>
    </xf>
    <xf applyAlignment="1" borderId="0" fillId="9" fontId="0" numFmtId="0" xfId="0">
      <alignment horizontal="center" wrapText="1"/>
    </xf>
    <xf applyAlignment="1" borderId="2" fillId="9" fontId="18" numFmtId="0" xfId="0">
      <alignment horizontal="left"/>
    </xf>
  </cellXfs>
  <cellStyles count="36">
    <cellStyle name="Normal 64" xfId="0"/>
    <cellStyle name="Normal 67" xfId="1"/>
    <cellStyle name="Normal 61" xfId="2"/>
    <cellStyle name="Normal 48" xfId="3"/>
    <cellStyle builtinId="5" name="Percent" xfId="4"/>
    <cellStyle name="Normal 25" xfId="5"/>
    <cellStyle name="Normal 40" xfId="6"/>
    <cellStyle name="Normal 41" xfId="7"/>
    <cellStyle builtinId="9" hidden="1" name="Followed Hyperlink" xfId="8"/>
    <cellStyle name="Normal 62" xfId="9"/>
    <cellStyle builtinId="0" name="Normal" xfId="10"/>
    <cellStyle name="Normal 81" xfId="11"/>
    <cellStyle name="Percent 2" xfId="12"/>
    <cellStyle name="Normal_Sheet1" xfId="13"/>
    <cellStyle name="Normal 73" xfId="14"/>
    <cellStyle name="Normal 71" xfId="15"/>
    <cellStyle name="Normal 56" xfId="16"/>
    <cellStyle name="Normal 77" xfId="17"/>
    <cellStyle name="Normal 75" xfId="18"/>
    <cellStyle builtinId="8" name="Hyperlink" xfId="19"/>
    <cellStyle name="Normal 57" xfId="20"/>
    <cellStyle name="Normal 2 2" xfId="21"/>
    <cellStyle name="Currency 16" xfId="22"/>
    <cellStyle name="Normal 36" xfId="23"/>
    <cellStyle name="Normal 35" xfId="24"/>
    <cellStyle name="Normal 12" xfId="25"/>
    <cellStyle name="Normal 14" xfId="26"/>
    <cellStyle name="Normal 17" xfId="27"/>
    <cellStyle name="Currency 3" xfId="28"/>
    <cellStyle name="Currency 2" xfId="29"/>
    <cellStyle name="Comma 2" xfId="30"/>
    <cellStyle name="Normal 111" xfId="31"/>
    <cellStyle builtinId="4" name="Currency" xfId="32"/>
    <cellStyle name="Normal 3" xfId="33"/>
    <cellStyle name="Normal 2" xfId="34"/>
    <cellStyle name="Normal 9" xfId="35"/>
  </cellStyles>
  <dxfs count="0"/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worksheets/sheet1.xml" Type="http://schemas.openxmlformats.org/officeDocument/2006/relationships/worksheet" /><Relationship Id="rId2" Target="worksheets/sheet2.xml" Type="http://schemas.openxmlformats.org/officeDocument/2006/relationships/worksheet" /><Relationship Id="rId3" Target="worksheets/sheet3.xml" Type="http://schemas.openxmlformats.org/officeDocument/2006/relationships/worksheet" /><Relationship Id="rId4" Target="sharedStrings.xml" Type="http://schemas.openxmlformats.org/officeDocument/2006/relationships/sharedStrings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64"/>
  <sheetViews>
    <sheetView topLeftCell="N3" workbookViewId="0">
      <selection activeCell="P23" sqref="P23:P27"/>
    </sheetView>
  </sheetViews>
  <sheetFormatPr baseColWidth="10" defaultRowHeight="15"/>
  <cols>
    <col customWidth="1" max="1" min="1" style="308" width="13.83203125"/>
    <col bestFit="1" customWidth="1" max="2" min="2" style="308" width="27.5"/>
    <col bestFit="1" customWidth="1" max="3" min="3" style="308" width="15.5"/>
    <col customWidth="1" max="5" min="5" style="308" width="13.83203125"/>
    <col bestFit="1" customWidth="1" max="6" min="6" style="308" width="12.6640625"/>
    <col customWidth="1" max="8" min="7" style="308" width="13.83203125"/>
    <col customWidth="1" max="9" min="9" style="49" width="12.83203125"/>
    <col customWidth="1" max="10" min="10" style="307" width="13.83203125"/>
    <col bestFit="1" customWidth="1" max="12" min="12" style="308" width="11.33203125"/>
    <col customWidth="1" max="14" min="13" style="308" width="13.83203125"/>
    <col customWidth="1" max="26" min="21" style="308" width="13.83203125"/>
    <col customWidth="1" max="27" min="27" style="310" width="30.33203125"/>
  </cols>
  <sheetData>
    <row customHeight="1" hidden="1" ht="16" r="1" s="307" spans="1:48">
      <c r="A1" s="69" t="n">
        <v>2015090831</v>
      </c>
      <c r="B1" s="74" t="s">
        <v>0</v>
      </c>
      <c r="C1" s="79" t="s">
        <v>1</v>
      </c>
      <c r="D1" s="84" t="s">
        <v>2</v>
      </c>
      <c r="E1" s="84" t="s">
        <v>3</v>
      </c>
      <c r="F1" s="84" t="s">
        <v>4</v>
      </c>
      <c r="G1" s="89" t="n">
        <v>34873</v>
      </c>
      <c r="H1" s="94" t="n">
        <v>45126.27</v>
      </c>
      <c r="I1" s="98" t="n">
        <v>0.095</v>
      </c>
      <c r="J1" s="103" t="n">
        <v>436.5</v>
      </c>
      <c r="K1" s="103" t="n">
        <v>0</v>
      </c>
      <c r="L1" s="106" t="n">
        <v>117</v>
      </c>
      <c r="M1" s="107" t="n">
        <v>41821</v>
      </c>
      <c r="N1" s="107" t="n">
        <v>41852</v>
      </c>
      <c r="O1" s="109" t="n">
        <v>15000</v>
      </c>
      <c r="P1" s="114" t="n">
        <v>3750</v>
      </c>
      <c r="Q1" s="66">
        <f>RATE(L1,-J1,P1)*12</f>
        <v/>
      </c>
      <c r="R1" s="67">
        <f>P1/O1</f>
        <v/>
      </c>
      <c r="S1" s="67" t="n"/>
      <c r="T1" s="68">
        <f>O1-H1</f>
        <v/>
      </c>
      <c r="U1" s="309" t="n"/>
      <c r="V1" s="309" t="n"/>
      <c r="W1" s="309" t="n"/>
      <c r="X1" s="309" t="n"/>
      <c r="Y1" s="309" t="n"/>
      <c r="Z1" s="309" t="n"/>
      <c r="AA1" s="140" t="n"/>
    </row>
    <row customHeight="1" hidden="1" ht="20" r="2" s="307" spans="1:48">
      <c r="A2" s="71" t="s">
        <v>5</v>
      </c>
      <c r="B2" s="76" t="s">
        <v>6</v>
      </c>
      <c r="C2" s="82" t="s">
        <v>7</v>
      </c>
      <c r="D2" s="76" t="s">
        <v>8</v>
      </c>
      <c r="E2" s="76" t="s">
        <v>9</v>
      </c>
      <c r="F2" s="76" t="s">
        <v>10</v>
      </c>
      <c r="G2" s="91" t="s">
        <v>11</v>
      </c>
      <c r="H2" s="96" t="s">
        <v>12</v>
      </c>
      <c r="I2" s="100" t="s">
        <v>13</v>
      </c>
      <c r="J2" s="96" t="s">
        <v>14</v>
      </c>
      <c r="K2" s="96" t="s">
        <v>15</v>
      </c>
      <c r="L2" s="76" t="s">
        <v>16</v>
      </c>
      <c r="M2" s="93" t="s">
        <v>17</v>
      </c>
      <c r="N2" s="93" t="s">
        <v>18</v>
      </c>
      <c r="O2" s="111" t="s">
        <v>19</v>
      </c>
      <c r="P2" s="115" t="s">
        <v>20</v>
      </c>
      <c r="Q2" s="66">
        <f>RATE(L2,-J2,P2)*12</f>
        <v/>
      </c>
      <c r="R2" s="67">
        <f>P2/O2</f>
        <v/>
      </c>
      <c r="S2" s="67" t="n"/>
      <c r="T2" s="68">
        <f>O2-H2</f>
        <v/>
      </c>
      <c r="U2" s="309" t="n"/>
      <c r="V2" s="309" t="n"/>
      <c r="W2" s="309" t="n"/>
      <c r="X2" s="309" t="n"/>
      <c r="Y2" s="309" t="n"/>
      <c r="Z2" s="309" t="n"/>
      <c r="AA2" s="118" t="n"/>
    </row>
    <row customHeight="1" ht="46" r="3" s="307" spans="1:48">
      <c r="A3" s="312" t="n">
        <v>55229</v>
      </c>
      <c r="B3" s="314" t="s">
        <v>21</v>
      </c>
      <c r="C3" s="314" t="s">
        <v>22</v>
      </c>
      <c r="D3" s="315" t="s">
        <v>23</v>
      </c>
      <c r="E3" s="315" t="n">
        <v>18301</v>
      </c>
      <c r="F3" s="315" t="s">
        <v>4</v>
      </c>
      <c r="G3" s="316" t="n">
        <v>38370</v>
      </c>
      <c r="H3" s="317" t="n">
        <v>57756.85</v>
      </c>
      <c r="I3" s="318" t="n">
        <v>0.0809</v>
      </c>
      <c r="J3" s="319" t="n">
        <v>489.16</v>
      </c>
      <c r="K3" s="319" t="n">
        <v>0</v>
      </c>
      <c r="L3" s="315" t="n">
        <v>247</v>
      </c>
      <c r="M3" s="316" t="n">
        <v>42374</v>
      </c>
      <c r="N3" s="316" t="n">
        <v>42399</v>
      </c>
      <c r="O3" s="320" t="n">
        <v>61700</v>
      </c>
      <c r="P3" s="114" t="n">
        <v>47650</v>
      </c>
      <c r="Q3" s="119" t="s">
        <v>24</v>
      </c>
      <c r="R3" s="67">
        <f>P3/O3</f>
        <v/>
      </c>
      <c r="S3" s="198">
        <f>P3/X3</f>
        <v/>
      </c>
      <c r="T3" s="191">
        <f>O3-H3</f>
        <v/>
      </c>
      <c r="U3" s="306" t="n"/>
      <c r="V3" s="306" t="n"/>
      <c r="W3" s="306" t="n"/>
      <c r="X3" s="306">
        <f>AVERAGE(U3:W3)</f>
        <v/>
      </c>
      <c r="Y3" s="306">
        <f>Z3/0.01</f>
        <v/>
      </c>
      <c r="Z3" s="306" t="n"/>
      <c r="AA3" s="311" t="s">
        <v>25</v>
      </c>
      <c r="AB3" s="145" t="n"/>
      <c r="AC3" s="145" t="n"/>
      <c r="AD3" s="145" t="n"/>
      <c r="AE3" s="145" t="n"/>
      <c r="AF3" s="145" t="n"/>
      <c r="AG3" s="145" t="n"/>
      <c r="AH3" s="145" t="n"/>
      <c r="AI3" s="145" t="n"/>
      <c r="AJ3" s="145" t="n"/>
      <c r="AK3" s="145" t="n"/>
      <c r="AL3" s="145" t="n"/>
      <c r="AM3" s="145" t="n"/>
      <c r="AN3" s="145" t="n"/>
      <c r="AO3" s="145" t="n"/>
      <c r="AP3" s="145" t="n"/>
      <c r="AQ3" s="145" t="n"/>
      <c r="AR3" s="145" t="n"/>
      <c r="AS3" s="145" t="n"/>
      <c r="AT3" s="145" t="n"/>
      <c r="AU3" s="145" t="n"/>
      <c r="AV3" s="145" t="n"/>
    </row>
    <row customHeight="1" ht="43" r="4" s="307" spans="1:48">
      <c r="A4" s="224" t="n">
        <v>2015110407</v>
      </c>
      <c r="B4" s="225" t="s">
        <v>26</v>
      </c>
      <c r="C4" s="226" t="s">
        <v>27</v>
      </c>
      <c r="D4" s="227" t="s">
        <v>28</v>
      </c>
      <c r="E4" s="227" t="s">
        <v>29</v>
      </c>
      <c r="F4" s="220" t="s">
        <v>4</v>
      </c>
      <c r="G4" s="27" t="n">
        <v>38869</v>
      </c>
      <c r="H4" s="295" t="n">
        <v>75833.96000000001</v>
      </c>
      <c r="I4" s="222" t="n">
        <v>0.0998</v>
      </c>
      <c r="J4" s="50" t="n">
        <v>686.77</v>
      </c>
      <c r="K4" s="50" t="n">
        <v>322</v>
      </c>
      <c r="L4" s="26" t="n">
        <v>303</v>
      </c>
      <c r="M4" s="27" t="n">
        <v>41760</v>
      </c>
      <c r="N4" s="289" t="n">
        <v>41791</v>
      </c>
      <c r="O4" s="290" t="n">
        <v>70000</v>
      </c>
      <c r="P4" s="300" t="n">
        <v>31500</v>
      </c>
      <c r="Q4" s="21" t="s">
        <v>24</v>
      </c>
      <c r="R4" s="198">
        <f>P4/O4</f>
        <v/>
      </c>
      <c r="S4" s="198">
        <f>P4/X4</f>
        <v/>
      </c>
      <c r="T4" s="199">
        <f>O4-H4</f>
        <v/>
      </c>
      <c r="U4" s="306" t="n">
        <v>88734</v>
      </c>
      <c r="V4" s="306" t="n">
        <v>62000</v>
      </c>
      <c r="W4" s="306" t="n">
        <v>78000</v>
      </c>
      <c r="X4" s="306">
        <f>AVERAGE(U4:W4)</f>
        <v/>
      </c>
      <c r="Y4" s="306">
        <f>Z4/0.01</f>
        <v/>
      </c>
      <c r="Z4" s="306" t="n">
        <v>975</v>
      </c>
      <c r="AA4" s="134" t="s">
        <v>30</v>
      </c>
      <c r="AV4" s="202" t="n"/>
    </row>
    <row customFormat="1" customHeight="1" ht="33" r="5" s="188" spans="1:48">
      <c r="A5" s="231" t="n">
        <v>2015091803</v>
      </c>
      <c r="B5" s="255" t="s">
        <v>31</v>
      </c>
      <c r="C5" s="255" t="s">
        <v>32</v>
      </c>
      <c r="D5" s="256" t="s">
        <v>33</v>
      </c>
      <c r="E5" s="256" t="s">
        <v>34</v>
      </c>
      <c r="F5" s="26" t="s">
        <v>4</v>
      </c>
      <c r="G5" s="25" t="n">
        <v>40644</v>
      </c>
      <c r="H5" s="247" t="n">
        <v>29295.96</v>
      </c>
      <c r="I5" s="249" t="n">
        <v>0.09</v>
      </c>
      <c r="J5" s="247" t="n">
        <v>490.3</v>
      </c>
      <c r="K5" s="247" t="n">
        <v>115.3</v>
      </c>
      <c r="L5" s="245" t="n">
        <v>308</v>
      </c>
      <c r="M5" s="246" t="n">
        <v>42352</v>
      </c>
      <c r="N5" s="246" t="n">
        <v>42370</v>
      </c>
      <c r="O5" s="295" t="n">
        <v>35000</v>
      </c>
      <c r="P5" s="20" t="n">
        <v>24170</v>
      </c>
      <c r="Q5" s="21" t="s">
        <v>24</v>
      </c>
      <c r="R5" s="67">
        <f>P5/O5</f>
        <v/>
      </c>
      <c r="S5" s="198">
        <f>P5/X5</f>
        <v/>
      </c>
      <c r="T5" s="306">
        <f>O5-H5</f>
        <v/>
      </c>
      <c r="U5" s="306" t="n">
        <v>43759</v>
      </c>
      <c r="V5" s="306" t="n">
        <v>64000</v>
      </c>
      <c r="W5" s="306" t="n">
        <v>67000</v>
      </c>
      <c r="X5" s="306">
        <f>AVERAGE(U5:W5)</f>
        <v/>
      </c>
      <c r="Y5" s="306">
        <f>Z5/0.01</f>
        <v/>
      </c>
      <c r="Z5" s="306" t="n">
        <v>800</v>
      </c>
      <c r="AA5" s="134" t="s">
        <v>35</v>
      </c>
      <c r="AB5" s="22" t="n"/>
      <c r="AC5" s="22" t="n"/>
      <c r="AD5" s="22" t="n"/>
      <c r="AE5" s="22" t="n"/>
      <c r="AF5" s="22" t="n"/>
      <c r="AG5" s="22" t="n"/>
      <c r="AH5" s="22" t="n"/>
      <c r="AI5" s="22" t="n"/>
      <c r="AJ5" s="22" t="n"/>
      <c r="AK5" s="22" t="n"/>
      <c r="AL5" s="22" t="n"/>
      <c r="AM5" s="22" t="n"/>
      <c r="AN5" s="22" t="n"/>
      <c r="AO5" s="22" t="n"/>
      <c r="AP5" s="22" t="n"/>
      <c r="AQ5" s="22" t="n"/>
      <c r="AR5" s="22" t="n"/>
      <c r="AS5" s="22" t="n"/>
      <c r="AT5" s="22" t="n"/>
      <c r="AU5" s="22" t="n"/>
      <c r="AV5" s="22" t="n"/>
    </row>
    <row customHeight="1" ht="35" r="6" s="307" spans="1:48">
      <c r="A6" s="221" t="n">
        <v>2015112507</v>
      </c>
      <c r="B6" s="219" t="s">
        <v>36</v>
      </c>
      <c r="C6" s="219" t="s">
        <v>37</v>
      </c>
      <c r="D6" s="220" t="s">
        <v>38</v>
      </c>
      <c r="E6" s="220" t="n">
        <v>21801</v>
      </c>
      <c r="F6" s="220" t="s">
        <v>4</v>
      </c>
      <c r="G6" s="27" t="n">
        <v>40664</v>
      </c>
      <c r="H6" s="295" t="n">
        <v>40657.94</v>
      </c>
      <c r="I6" s="222" t="n">
        <v>0.1</v>
      </c>
      <c r="J6" s="50" t="n">
        <v>436.03</v>
      </c>
      <c r="K6" s="50" t="n">
        <v>85</v>
      </c>
      <c r="L6" s="26" t="n">
        <v>181</v>
      </c>
      <c r="M6" s="27" t="n">
        <v>41613</v>
      </c>
      <c r="N6" s="289" t="n">
        <v>41532</v>
      </c>
      <c r="O6" s="290" t="n">
        <v>40000</v>
      </c>
      <c r="P6" s="300" t="n">
        <v>14000</v>
      </c>
      <c r="Q6" s="21" t="s">
        <v>24</v>
      </c>
      <c r="R6" s="67">
        <f>P6/O6</f>
        <v/>
      </c>
      <c r="S6" s="185">
        <f>P6/X6</f>
        <v/>
      </c>
      <c r="T6" s="306">
        <f>O6-H6</f>
        <v/>
      </c>
      <c r="U6" s="306" t="n">
        <v>70916</v>
      </c>
      <c r="V6" s="306" t="n">
        <v>67000</v>
      </c>
      <c r="W6" s="306" t="n">
        <v>48000</v>
      </c>
      <c r="X6" s="306">
        <f>AVERAGE(U6:W6)</f>
        <v/>
      </c>
      <c r="Y6" s="306">
        <f>Z6/0.01</f>
        <v/>
      </c>
      <c r="Z6" s="306" t="n">
        <v>650</v>
      </c>
      <c r="AA6" s="135" t="s">
        <v>39</v>
      </c>
    </row>
    <row customHeight="1" ht="20.25" r="7" s="307" spans="1:48">
      <c r="A7" s="313" t="s">
        <v>40</v>
      </c>
      <c r="B7" s="240" t="s">
        <v>6</v>
      </c>
      <c r="C7" s="240" t="s">
        <v>7</v>
      </c>
      <c r="D7" s="240" t="s">
        <v>8</v>
      </c>
      <c r="E7" s="240" t="s">
        <v>9</v>
      </c>
      <c r="F7" s="242" t="s">
        <v>41</v>
      </c>
      <c r="G7" s="294" t="s">
        <v>42</v>
      </c>
      <c r="H7" s="244" t="s">
        <v>12</v>
      </c>
      <c r="I7" s="242" t="s">
        <v>13</v>
      </c>
      <c r="J7" s="244" t="s">
        <v>14</v>
      </c>
      <c r="K7" s="244" t="s">
        <v>15</v>
      </c>
      <c r="L7" s="242" t="s">
        <v>43</v>
      </c>
      <c r="M7" s="294" t="s">
        <v>17</v>
      </c>
      <c r="N7" s="294" t="s">
        <v>18</v>
      </c>
      <c r="O7" s="244" t="s">
        <v>19</v>
      </c>
      <c r="P7" s="303" t="s">
        <v>20</v>
      </c>
      <c r="Q7" s="304" t="s">
        <v>44</v>
      </c>
      <c r="R7" s="64" t="s">
        <v>45</v>
      </c>
      <c r="S7" s="64" t="s">
        <v>46</v>
      </c>
      <c r="T7" s="64" t="s">
        <v>47</v>
      </c>
      <c r="U7" s="64" t="s">
        <v>48</v>
      </c>
      <c r="V7" s="64" t="s">
        <v>49</v>
      </c>
      <c r="W7" s="64" t="s">
        <v>50</v>
      </c>
      <c r="X7" s="64" t="s">
        <v>51</v>
      </c>
      <c r="Y7" s="64" t="s">
        <v>52</v>
      </c>
      <c r="Z7" s="64" t="s">
        <v>53</v>
      </c>
      <c r="AA7" s="118" t="s">
        <v>54</v>
      </c>
    </row>
    <row customHeight="1" ht="20" r="8" s="307" spans="1:48">
      <c r="A8" s="212" t="n">
        <v>40550</v>
      </c>
      <c r="B8" s="216" t="s">
        <v>55</v>
      </c>
      <c r="C8" s="216" t="s">
        <v>56</v>
      </c>
      <c r="D8" s="245" t="s">
        <v>28</v>
      </c>
      <c r="E8" s="245" t="n">
        <v>45207</v>
      </c>
      <c r="F8" s="245" t="s">
        <v>4</v>
      </c>
      <c r="G8" s="246" t="n">
        <v>41813</v>
      </c>
      <c r="H8" s="247" t="n">
        <v>33020.81</v>
      </c>
      <c r="I8" s="249" t="n">
        <v>0.08</v>
      </c>
      <c r="J8" s="250" t="n">
        <v>285.44</v>
      </c>
      <c r="K8" s="250" t="n">
        <v>79.33</v>
      </c>
      <c r="L8" s="245" t="n">
        <v>223</v>
      </c>
      <c r="M8" s="246" t="n">
        <v>42369</v>
      </c>
      <c r="N8" s="246" t="n">
        <v>42401</v>
      </c>
      <c r="O8" s="5" t="n">
        <v>28900</v>
      </c>
      <c r="P8" s="20" t="n">
        <v>23840</v>
      </c>
      <c r="Q8" s="21" t="s">
        <v>24</v>
      </c>
      <c r="R8" s="67">
        <f>P8/O8</f>
        <v/>
      </c>
      <c r="S8" s="198">
        <f>P8/X8</f>
        <v/>
      </c>
      <c r="T8" s="306">
        <f>O8-H8</f>
        <v/>
      </c>
      <c r="U8" s="306" t="n"/>
      <c r="V8" s="306" t="n"/>
      <c r="W8" s="306" t="n"/>
      <c r="X8" s="306">
        <f>AVERAGE(U8:W8)</f>
        <v/>
      </c>
      <c r="Y8" s="306">
        <f>Z8/0.01</f>
        <v/>
      </c>
      <c r="Z8" s="306" t="n"/>
      <c r="AA8" s="134" t="s">
        <v>57</v>
      </c>
      <c r="AB8" s="22" t="n"/>
      <c r="AC8" s="22" t="n"/>
      <c r="AD8" s="22" t="n"/>
      <c r="AE8" s="22" t="n"/>
      <c r="AF8" s="22" t="n"/>
      <c r="AG8" s="22" t="n"/>
      <c r="AH8" s="22" t="n"/>
      <c r="AI8" s="22" t="n"/>
      <c r="AJ8" s="22" t="n"/>
      <c r="AK8" s="22" t="n"/>
      <c r="AL8" s="22" t="n"/>
      <c r="AM8" s="22" t="n"/>
      <c r="AN8" s="22" t="n"/>
      <c r="AO8" s="22" t="n"/>
      <c r="AP8" s="22" t="n"/>
      <c r="AQ8" s="22" t="n"/>
      <c r="AR8" s="22" t="n"/>
      <c r="AS8" s="22" t="n"/>
      <c r="AT8" s="22" t="n"/>
      <c r="AU8" s="22" t="n"/>
      <c r="AV8" s="22" t="n"/>
    </row>
    <row customHeight="1" ht="17" r="9" s="307" spans="1:48">
      <c r="A9" s="231" t="n">
        <v>2015090832</v>
      </c>
      <c r="B9" s="232" t="s">
        <v>58</v>
      </c>
      <c r="C9" s="226" t="s">
        <v>59</v>
      </c>
      <c r="D9" s="227" t="s">
        <v>60</v>
      </c>
      <c r="E9" s="227" t="s">
        <v>61</v>
      </c>
      <c r="F9" s="227" t="s">
        <v>4</v>
      </c>
      <c r="G9" s="27" t="n">
        <v>36974</v>
      </c>
      <c r="H9" s="50" t="n">
        <v>52674.32</v>
      </c>
      <c r="I9" s="214" t="n">
        <v>0.08</v>
      </c>
      <c r="J9" s="15" t="n">
        <v>478.86</v>
      </c>
      <c r="K9" s="15" t="n">
        <v>16.04</v>
      </c>
      <c r="L9" s="26" t="n">
        <v>186</v>
      </c>
      <c r="M9" s="27" t="n">
        <v>41487</v>
      </c>
      <c r="N9" s="25" t="n">
        <v>41518</v>
      </c>
      <c r="O9" s="288" t="n">
        <v>47000</v>
      </c>
      <c r="P9" s="20" t="n">
        <v>23325</v>
      </c>
      <c r="Q9" s="21" t="s">
        <v>24</v>
      </c>
      <c r="R9" s="67">
        <f>P9/O9</f>
        <v/>
      </c>
      <c r="S9" s="198">
        <f>P9/X9</f>
        <v/>
      </c>
      <c r="T9" s="306">
        <f>O9-H9</f>
        <v/>
      </c>
      <c r="U9" s="306" t="n">
        <v>58718</v>
      </c>
      <c r="V9" s="306" t="n"/>
      <c r="W9" s="306" t="n"/>
      <c r="X9" s="306">
        <f>AVERAGE(U9:W9)</f>
        <v/>
      </c>
      <c r="Y9" s="306">
        <f>Z9/0.01</f>
        <v/>
      </c>
      <c r="Z9" s="306" t="n">
        <v>850</v>
      </c>
      <c r="AA9" s="134" t="s">
        <v>62</v>
      </c>
    </row>
    <row customFormat="1" customHeight="1" ht="48" r="10" s="202" spans="1:48">
      <c r="A10" s="231" t="n">
        <v>2015062902</v>
      </c>
      <c r="B10" s="218" t="s">
        <v>63</v>
      </c>
      <c r="C10" s="219" t="s">
        <v>64</v>
      </c>
      <c r="D10" s="3" t="s">
        <v>65</v>
      </c>
      <c r="E10" s="3" t="n">
        <v>38105</v>
      </c>
      <c r="F10" s="26" t="s">
        <v>4</v>
      </c>
      <c r="G10" s="27" t="n">
        <v>40750</v>
      </c>
      <c r="H10" s="50" t="n">
        <v>45226.5</v>
      </c>
      <c r="I10" s="214" t="n">
        <v>0.08210000000000001</v>
      </c>
      <c r="J10" s="15" t="n">
        <v>399.72</v>
      </c>
      <c r="K10" s="15" t="n">
        <v>121</v>
      </c>
      <c r="L10" s="26" t="n">
        <v>219</v>
      </c>
      <c r="M10" s="27" t="n">
        <v>41456</v>
      </c>
      <c r="N10" s="25" t="n">
        <v>41487</v>
      </c>
      <c r="O10" s="5" t="n">
        <v>44500</v>
      </c>
      <c r="P10" s="20" t="n">
        <v>22000</v>
      </c>
      <c r="Q10" s="21" t="s">
        <v>24</v>
      </c>
      <c r="R10" s="67">
        <f>P10/O10</f>
        <v/>
      </c>
      <c r="S10" s="198">
        <f>P10/X10</f>
        <v/>
      </c>
      <c r="T10" s="306">
        <f>O10-H10</f>
        <v/>
      </c>
      <c r="U10" s="306" t="n">
        <v>59323</v>
      </c>
      <c r="V10" s="306" t="n">
        <v>98000</v>
      </c>
      <c r="W10" s="306" t="n">
        <v>91000</v>
      </c>
      <c r="X10" s="306">
        <f>AVERAGE(U10:W10)</f>
        <v/>
      </c>
      <c r="Y10" s="306">
        <f>Z10/0.01</f>
        <v/>
      </c>
      <c r="Z10" s="306" t="n">
        <v>1350</v>
      </c>
      <c r="AA10" s="135" t="s">
        <v>66</v>
      </c>
    </row>
    <row customHeight="1" ht="20.25" r="11" s="307" spans="1:48">
      <c r="A11" s="231" t="n">
        <v>2015090839</v>
      </c>
      <c r="B11" s="225" t="s">
        <v>67</v>
      </c>
      <c r="C11" s="226" t="s">
        <v>68</v>
      </c>
      <c r="D11" s="227" t="s">
        <v>69</v>
      </c>
      <c r="E11" s="227" t="s">
        <v>70</v>
      </c>
      <c r="F11" s="26" t="s">
        <v>4</v>
      </c>
      <c r="G11" s="27" t="n">
        <v>39139</v>
      </c>
      <c r="H11" s="50" t="n">
        <v>49692.33</v>
      </c>
      <c r="I11" s="214" t="n">
        <v>0.0512</v>
      </c>
      <c r="J11" s="15" t="n">
        <v>498.82</v>
      </c>
      <c r="K11" s="15" t="n">
        <v>0</v>
      </c>
      <c r="L11" s="26" t="n">
        <v>233</v>
      </c>
      <c r="M11" s="27" t="n">
        <v>42036</v>
      </c>
      <c r="N11" s="25" t="n">
        <v>42064</v>
      </c>
      <c r="O11" s="295" t="n">
        <v>32500</v>
      </c>
      <c r="P11" s="20" t="n">
        <v>13815</v>
      </c>
      <c r="Q11" s="21" t="s">
        <v>24</v>
      </c>
      <c r="R11" s="67">
        <f>P11/O11</f>
        <v/>
      </c>
      <c r="S11" s="198">
        <f>P11/X11</f>
        <v/>
      </c>
      <c r="T11" s="306">
        <f>O11-H11</f>
        <v/>
      </c>
      <c r="U11" s="306" t="n">
        <v>56297</v>
      </c>
      <c r="V11" s="306" t="n">
        <v>39000</v>
      </c>
      <c r="W11" s="306" t="n">
        <v>58000</v>
      </c>
      <c r="X11" s="306">
        <f>AVERAGE(U11:W11)</f>
        <v/>
      </c>
      <c r="Y11" s="306">
        <f>Z11/0.01</f>
        <v/>
      </c>
      <c r="Z11" s="306" t="n">
        <v>1000</v>
      </c>
      <c r="AA11" s="134" t="s">
        <v>71</v>
      </c>
    </row>
    <row customHeight="1" ht="20.25" r="12" s="307" spans="1:48">
      <c r="A12" s="231" t="n">
        <v>2015090833</v>
      </c>
      <c r="B12" s="232" t="s">
        <v>72</v>
      </c>
      <c r="C12" s="226" t="s">
        <v>73</v>
      </c>
      <c r="D12" s="227" t="s">
        <v>74</v>
      </c>
      <c r="E12" s="227" t="s">
        <v>75</v>
      </c>
      <c r="F12" s="227" t="s">
        <v>76</v>
      </c>
      <c r="G12" s="27" t="n">
        <v>38026</v>
      </c>
      <c r="H12" s="50" t="n">
        <v>42904.29</v>
      </c>
      <c r="I12" s="214" t="n">
        <v>0.10375</v>
      </c>
      <c r="J12" s="15" t="n">
        <v>676.63</v>
      </c>
      <c r="K12" s="15" t="n">
        <v>254.46</v>
      </c>
      <c r="L12" s="26" t="n">
        <v>221</v>
      </c>
      <c r="M12" s="27" t="n">
        <v>41548</v>
      </c>
      <c r="N12" s="25" t="n">
        <v>41579</v>
      </c>
      <c r="O12" s="288" t="n">
        <v>40000</v>
      </c>
      <c r="P12" s="20" t="n">
        <v>19400</v>
      </c>
      <c r="Q12" s="21" t="s">
        <v>24</v>
      </c>
      <c r="R12" s="67">
        <f>P12/O12</f>
        <v/>
      </c>
      <c r="S12" s="198">
        <f>P12/X12</f>
        <v/>
      </c>
      <c r="T12" s="306">
        <f>O12-H12</f>
        <v/>
      </c>
      <c r="U12" s="306" t="n">
        <v>40000</v>
      </c>
      <c r="V12" s="306" t="n">
        <v>34000</v>
      </c>
      <c r="W12" s="306" t="n">
        <v>45000</v>
      </c>
      <c r="X12" s="306">
        <f>AVERAGE(U12:W12)</f>
        <v/>
      </c>
      <c r="Y12" s="306">
        <f>Z12/0.01</f>
        <v/>
      </c>
      <c r="Z12" s="306" t="n">
        <v>575</v>
      </c>
      <c r="AA12" s="134" t="s">
        <v>77</v>
      </c>
    </row>
    <row customHeight="1" ht="20.25" r="13" s="307" spans="1:48">
      <c r="A13" s="231" t="n">
        <v>2015090824</v>
      </c>
      <c r="B13" s="236" t="s">
        <v>78</v>
      </c>
      <c r="C13" s="236" t="s">
        <v>79</v>
      </c>
      <c r="D13" s="237" t="s">
        <v>38</v>
      </c>
      <c r="E13" s="237" t="s">
        <v>80</v>
      </c>
      <c r="F13" s="237" t="s">
        <v>4</v>
      </c>
      <c r="G13" s="27" t="n">
        <v>39264</v>
      </c>
      <c r="H13" s="5" t="n">
        <v>66750</v>
      </c>
      <c r="I13" s="238" t="n">
        <v>0.08375</v>
      </c>
      <c r="J13" s="50" t="n">
        <v>465.86</v>
      </c>
      <c r="K13" s="50" t="n">
        <v>121.95</v>
      </c>
      <c r="L13" s="26" t="n">
        <v>277</v>
      </c>
      <c r="M13" s="27" t="n">
        <v>41821</v>
      </c>
      <c r="N13" s="291" t="n">
        <v>41852</v>
      </c>
      <c r="O13" s="292" t="n">
        <v>21000</v>
      </c>
      <c r="P13" s="301" t="n">
        <v>7350</v>
      </c>
      <c r="Q13" s="302" t="s">
        <v>24</v>
      </c>
      <c r="R13" s="67">
        <f>P13/O13</f>
        <v/>
      </c>
      <c r="S13" s="198">
        <f>P13/X13</f>
        <v/>
      </c>
      <c r="T13" s="306">
        <f>O13-H13</f>
        <v/>
      </c>
      <c r="U13" s="306" t="n">
        <v>53723</v>
      </c>
      <c r="V13" s="306" t="n">
        <v>49000</v>
      </c>
      <c r="W13" s="306" t="n">
        <v>40000</v>
      </c>
      <c r="X13" s="306">
        <f>AVERAGE(U13:W13)</f>
        <v/>
      </c>
      <c r="Y13" s="306">
        <f>Z13/0.01</f>
        <v/>
      </c>
      <c r="Z13" s="306" t="n">
        <v>1200</v>
      </c>
      <c r="AA13" s="134" t="s">
        <v>77</v>
      </c>
    </row>
    <row customHeight="1" ht="20.25" r="14" s="307" spans="1:48">
      <c r="A14" s="221" t="n">
        <v>2015112506</v>
      </c>
      <c r="B14" s="219" t="s">
        <v>81</v>
      </c>
      <c r="C14" s="219" t="s">
        <v>82</v>
      </c>
      <c r="D14" s="220" t="s">
        <v>2</v>
      </c>
      <c r="E14" s="220" t="n">
        <v>47834</v>
      </c>
      <c r="F14" s="220" t="s">
        <v>4</v>
      </c>
      <c r="G14" s="27" t="n">
        <v>41316</v>
      </c>
      <c r="H14" s="5" t="n">
        <v>29000.27</v>
      </c>
      <c r="I14" s="222" t="n">
        <v>0.1</v>
      </c>
      <c r="J14" s="15" t="n">
        <v>448.16</v>
      </c>
      <c r="K14" s="15" t="n">
        <v>75</v>
      </c>
      <c r="L14" s="26" t="n">
        <v>94</v>
      </c>
      <c r="M14" s="27" t="n">
        <v>41488</v>
      </c>
      <c r="N14" s="25" t="n">
        <v>41456</v>
      </c>
      <c r="O14" s="288" t="n">
        <v>28000</v>
      </c>
      <c r="P14" s="20" t="n">
        <v>8400</v>
      </c>
      <c r="Q14" s="21" t="s">
        <v>24</v>
      </c>
      <c r="R14" s="67">
        <f>P14/O14</f>
        <v/>
      </c>
      <c r="S14" s="185">
        <f>P14/X14</f>
        <v/>
      </c>
      <c r="T14" s="306">
        <f>O14-H14</f>
        <v/>
      </c>
      <c r="U14" s="306" t="n">
        <v>36983</v>
      </c>
      <c r="V14" s="306" t="n"/>
      <c r="W14" s="306" t="n">
        <v>56000</v>
      </c>
      <c r="X14" s="306">
        <f>AVERAGE(U14:W14)</f>
        <v/>
      </c>
      <c r="Y14" s="306">
        <f>Z14/0.01</f>
        <v/>
      </c>
      <c r="Z14" s="306" t="n">
        <v>538</v>
      </c>
      <c r="AA14" s="134" t="s">
        <v>83</v>
      </c>
    </row>
    <row customHeight="1" ht="20.25" r="15" s="307" spans="1:48">
      <c r="A15" s="221" t="n">
        <v>2015112504</v>
      </c>
      <c r="B15" s="219" t="s">
        <v>84</v>
      </c>
      <c r="C15" s="219" t="s">
        <v>85</v>
      </c>
      <c r="D15" s="220" t="s">
        <v>2</v>
      </c>
      <c r="E15" s="220" t="n">
        <v>46901</v>
      </c>
      <c r="F15" s="220" t="s">
        <v>4</v>
      </c>
      <c r="G15" s="27" t="n">
        <v>41313</v>
      </c>
      <c r="H15" s="295" t="n">
        <v>31290.89</v>
      </c>
      <c r="I15" s="222" t="n">
        <v>0.1</v>
      </c>
      <c r="J15" s="50" t="n">
        <v>448.68</v>
      </c>
      <c r="K15" s="50" t="n">
        <v>127</v>
      </c>
      <c r="L15" s="26" t="n">
        <v>105</v>
      </c>
      <c r="M15" s="27" t="n">
        <v>41374</v>
      </c>
      <c r="N15" s="289" t="n">
        <v>41334</v>
      </c>
      <c r="O15" s="290" t="n">
        <v>23500</v>
      </c>
      <c r="P15" s="300" t="n">
        <v>7050</v>
      </c>
      <c r="Q15" s="21" t="s">
        <v>24</v>
      </c>
      <c r="R15" s="67">
        <f>P15/O15</f>
        <v/>
      </c>
      <c r="S15" s="185">
        <f>P15/X15</f>
        <v/>
      </c>
      <c r="T15" s="306">
        <f>O15-H15</f>
        <v/>
      </c>
      <c r="U15" s="306" t="n">
        <v>43409</v>
      </c>
      <c r="V15" s="306" t="n"/>
      <c r="W15" s="306" t="n">
        <v>49000</v>
      </c>
      <c r="X15" s="306">
        <f>AVERAGE(U15:W15)</f>
        <v/>
      </c>
      <c r="Y15" s="306">
        <f>Z15/0.01</f>
        <v/>
      </c>
      <c r="Z15" s="306" t="n">
        <v>450</v>
      </c>
      <c r="AA15" s="325" t="s">
        <v>86</v>
      </c>
    </row>
    <row customHeight="1" ht="20.25" r="16" s="307" spans="1:48">
      <c r="A16" s="231" t="n">
        <v>2015090805</v>
      </c>
      <c r="B16" s="225" t="s">
        <v>87</v>
      </c>
      <c r="C16" s="226" t="s">
        <v>88</v>
      </c>
      <c r="D16" s="227" t="s">
        <v>89</v>
      </c>
      <c r="E16" s="227" t="s">
        <v>90</v>
      </c>
      <c r="F16" s="26" t="s">
        <v>4</v>
      </c>
      <c r="G16" s="27" t="n">
        <v>39184</v>
      </c>
      <c r="H16" s="50" t="n">
        <v>57788.93</v>
      </c>
      <c r="I16" s="214" t="n">
        <v>0.08375</v>
      </c>
      <c r="J16" s="15" t="n">
        <v>444.52</v>
      </c>
      <c r="K16" s="15" t="n">
        <v>112.98</v>
      </c>
      <c r="L16" s="26" t="n">
        <v>258</v>
      </c>
      <c r="M16" s="27" t="n">
        <v>39741</v>
      </c>
      <c r="N16" s="25" t="n">
        <v>39772</v>
      </c>
      <c r="O16" s="295" t="n">
        <v>46000</v>
      </c>
      <c r="P16" s="20" t="n">
        <v>23000</v>
      </c>
      <c r="Q16" s="21" t="s">
        <v>24</v>
      </c>
      <c r="R16" s="67">
        <f>P16/O16</f>
        <v/>
      </c>
      <c r="S16" s="198">
        <f>P16/X16</f>
        <v/>
      </c>
      <c r="T16" s="306">
        <f>O16-H16</f>
        <v/>
      </c>
      <c r="U16" s="306" t="n"/>
      <c r="V16" s="306" t="n"/>
      <c r="W16" s="306" t="n">
        <v>44000</v>
      </c>
      <c r="X16" s="306">
        <f>AVERAGE(U16:W16)</f>
        <v/>
      </c>
      <c r="Y16" s="306">
        <f>Z16/0.01</f>
        <v/>
      </c>
      <c r="Z16" s="306" t="n">
        <v>825</v>
      </c>
      <c r="AA16" s="325" t="s">
        <v>83</v>
      </c>
    </row>
    <row customHeight="1" ht="21" r="17" s="307" spans="1:48">
      <c r="A17" s="257" t="n">
        <v>40273</v>
      </c>
      <c r="B17" s="263" t="s">
        <v>91</v>
      </c>
      <c r="C17" s="263" t="s">
        <v>92</v>
      </c>
      <c r="D17" s="254" t="s">
        <v>93</v>
      </c>
      <c r="E17" s="254" t="n">
        <v>29203</v>
      </c>
      <c r="F17" s="26" t="s">
        <v>4</v>
      </c>
      <c r="G17" s="25" t="n">
        <v>41530</v>
      </c>
      <c r="H17" s="247" t="n">
        <v>28169.81</v>
      </c>
      <c r="I17" s="249" t="n">
        <v>0.095</v>
      </c>
      <c r="J17" s="247" t="n">
        <v>272.18</v>
      </c>
      <c r="K17" s="247" t="n">
        <v>122.51</v>
      </c>
      <c r="L17" s="245" t="n">
        <v>215</v>
      </c>
      <c r="M17" s="246" t="n">
        <v>42356</v>
      </c>
      <c r="N17" s="246" t="n">
        <v>42370</v>
      </c>
      <c r="O17" s="295" t="n">
        <v>36000</v>
      </c>
      <c r="P17" s="20" t="n">
        <v>23240</v>
      </c>
      <c r="Q17" s="21" t="s">
        <v>24</v>
      </c>
      <c r="R17" s="67">
        <f>P17/O17</f>
        <v/>
      </c>
      <c r="S17" s="198">
        <f>P17/X17</f>
        <v/>
      </c>
      <c r="T17" s="306">
        <f>O17-H17</f>
        <v/>
      </c>
      <c r="U17" s="308" t="n">
        <v>52500</v>
      </c>
      <c r="V17" s="308" t="n">
        <v>210000</v>
      </c>
      <c r="W17" s="308" t="n">
        <v>59000</v>
      </c>
      <c r="X17" s="306">
        <f>AVERAGE(U17:W17)</f>
        <v/>
      </c>
      <c r="Y17" s="306">
        <f>Z17/0.01</f>
        <v/>
      </c>
      <c r="Z17" s="308" t="n">
        <v>900</v>
      </c>
      <c r="AA17" s="321" t="s">
        <v>83</v>
      </c>
    </row>
    <row customHeight="1" ht="42" r="18" s="307" spans="1:48">
      <c r="A18" s="221" t="n">
        <v>2015113001</v>
      </c>
      <c r="B18" s="219" t="s">
        <v>94</v>
      </c>
      <c r="C18" s="219" t="s">
        <v>95</v>
      </c>
      <c r="D18" s="220" t="s">
        <v>28</v>
      </c>
      <c r="E18" s="220" t="n">
        <v>44646</v>
      </c>
      <c r="F18" s="220" t="s">
        <v>4</v>
      </c>
      <c r="G18" s="27" t="n">
        <v>40842</v>
      </c>
      <c r="H18" s="50" t="n">
        <v>37871.3</v>
      </c>
      <c r="I18" s="222" t="n">
        <v>0.1</v>
      </c>
      <c r="J18" s="50" t="n">
        <v>324.7</v>
      </c>
      <c r="K18" s="50" t="n"/>
      <c r="L18" s="26" t="n">
        <v>431</v>
      </c>
      <c r="M18" s="27" t="n">
        <v>41562</v>
      </c>
      <c r="N18" s="291" t="n">
        <v>41593</v>
      </c>
      <c r="O18" s="292" t="n">
        <v>45000</v>
      </c>
      <c r="P18" s="301" t="n">
        <v>11360</v>
      </c>
      <c r="Q18" s="21" t="s">
        <v>24</v>
      </c>
      <c r="R18" s="67">
        <f>P18/O18</f>
        <v/>
      </c>
      <c r="S18" s="198">
        <f>P18/X18</f>
        <v/>
      </c>
      <c r="T18" s="306">
        <f>O18-H18</f>
        <v/>
      </c>
      <c r="U18" s="306" t="n">
        <v>59945</v>
      </c>
      <c r="V18" s="306" t="n">
        <v>59000</v>
      </c>
      <c r="W18" s="306" t="n">
        <v>65680</v>
      </c>
      <c r="X18" s="306">
        <f>AVERAGE(U18:W18)</f>
        <v/>
      </c>
      <c r="Y18" s="306">
        <f>Z18/0.01</f>
        <v/>
      </c>
      <c r="Z18" s="306" t="n">
        <v>675</v>
      </c>
      <c r="AA18" s="325" t="s">
        <v>96</v>
      </c>
    </row>
    <row customHeight="1" ht="36" r="19" s="307" spans="1:48">
      <c r="A19" s="224" t="n">
        <v>2015110416</v>
      </c>
      <c r="B19" s="225" t="s">
        <v>97</v>
      </c>
      <c r="C19" s="226" t="s">
        <v>98</v>
      </c>
      <c r="D19" s="227" t="s">
        <v>28</v>
      </c>
      <c r="E19" s="227" t="s">
        <v>99</v>
      </c>
      <c r="F19" s="220" t="s">
        <v>4</v>
      </c>
      <c r="G19" s="27" t="n">
        <v>35339</v>
      </c>
      <c r="H19" s="50" t="n">
        <v>15251.18</v>
      </c>
      <c r="I19" s="222" t="n">
        <v>0.0825</v>
      </c>
      <c r="J19" s="50" t="n">
        <v>313.99</v>
      </c>
      <c r="K19" s="50" t="n">
        <v>65</v>
      </c>
      <c r="L19" s="26" t="n">
        <v>60</v>
      </c>
      <c r="M19" s="27" t="n">
        <v>41821</v>
      </c>
      <c r="N19" s="291" t="n">
        <v>41852</v>
      </c>
      <c r="O19" s="292" t="n">
        <v>24000</v>
      </c>
      <c r="P19" s="301" t="n">
        <v>3815</v>
      </c>
      <c r="Q19" s="21" t="s">
        <v>24</v>
      </c>
      <c r="R19" s="67">
        <f>P19/O19</f>
        <v/>
      </c>
      <c r="S19" s="198">
        <f>P19/X19</f>
        <v/>
      </c>
      <c r="T19" s="306">
        <f>O19-H19</f>
        <v/>
      </c>
      <c r="U19" s="306" t="n">
        <v>111199</v>
      </c>
      <c r="V19" s="306" t="n">
        <v>66000</v>
      </c>
      <c r="W19" s="306" t="n">
        <v>49000</v>
      </c>
      <c r="X19" s="306">
        <f>AVERAGE(U19:W19)</f>
        <v/>
      </c>
      <c r="Y19" s="306">
        <f>Z19/0.01</f>
        <v/>
      </c>
      <c r="Z19" s="306" t="n">
        <v>650</v>
      </c>
      <c r="AA19" s="325" t="s">
        <v>100</v>
      </c>
    </row>
    <row customHeight="1" ht="36" r="20" s="307" spans="1:48">
      <c r="A20" s="221" t="n">
        <v>2015110603</v>
      </c>
      <c r="B20" s="228" t="s">
        <v>101</v>
      </c>
      <c r="C20" s="229" t="s">
        <v>102</v>
      </c>
      <c r="D20" s="230" t="s">
        <v>74</v>
      </c>
      <c r="E20" s="230" t="s">
        <v>103</v>
      </c>
      <c r="F20" s="220" t="s">
        <v>4</v>
      </c>
      <c r="G20" s="27" t="n">
        <v>38596</v>
      </c>
      <c r="H20" s="50" t="n">
        <v>60460.76</v>
      </c>
      <c r="I20" s="222" t="n">
        <v>0.0775</v>
      </c>
      <c r="J20" s="50" t="n">
        <v>695.1</v>
      </c>
      <c r="K20" s="50" t="n">
        <v>225.7</v>
      </c>
      <c r="L20" s="26" t="n">
        <v>129</v>
      </c>
      <c r="M20" s="27" t="n">
        <v>41000</v>
      </c>
      <c r="N20" s="291" t="n">
        <v>41030</v>
      </c>
      <c r="O20" s="292" t="n">
        <v>58500</v>
      </c>
      <c r="P20" s="301" t="n">
        <v>23400</v>
      </c>
      <c r="Q20" s="21" t="s">
        <v>24</v>
      </c>
      <c r="R20" s="67">
        <f>P20/O20</f>
        <v/>
      </c>
      <c r="S20" s="198">
        <f>P20/X20</f>
        <v/>
      </c>
      <c r="T20" s="306">
        <f>O20-H20</f>
        <v/>
      </c>
      <c r="U20" s="306" t="n">
        <v>105931</v>
      </c>
      <c r="V20" s="306" t="n">
        <v>99000</v>
      </c>
      <c r="W20" s="306" t="n">
        <v>115370</v>
      </c>
      <c r="X20" s="306">
        <f>AVERAGE(U20:W20)</f>
        <v/>
      </c>
      <c r="Y20" s="306">
        <f>Z20/0.01</f>
        <v/>
      </c>
      <c r="Z20" s="306" t="n">
        <v>1200</v>
      </c>
      <c r="AA20" s="326" t="s">
        <v>100</v>
      </c>
    </row>
    <row customHeight="1" ht="44" r="21" s="307" spans="1:48">
      <c r="A21" s="231" t="n">
        <v>2015062904</v>
      </c>
      <c r="B21" s="218" t="s">
        <v>104</v>
      </c>
      <c r="C21" s="219" t="s">
        <v>105</v>
      </c>
      <c r="D21" s="3" t="s">
        <v>106</v>
      </c>
      <c r="E21" s="3" t="n">
        <v>53968</v>
      </c>
      <c r="F21" s="26" t="s">
        <v>4</v>
      </c>
      <c r="G21" s="27" t="n">
        <v>40955</v>
      </c>
      <c r="H21" s="50" t="n">
        <v>43151.84</v>
      </c>
      <c r="I21" s="214" t="n">
        <v>0.1</v>
      </c>
      <c r="J21" s="15" t="n">
        <v>372.97</v>
      </c>
      <c r="K21" s="15" t="n">
        <v>98</v>
      </c>
      <c r="L21" s="26" t="n">
        <v>316</v>
      </c>
      <c r="M21" s="27" t="n">
        <v>41532</v>
      </c>
      <c r="N21" s="25" t="n">
        <v>41562</v>
      </c>
      <c r="O21" s="5" t="n">
        <v>39900</v>
      </c>
      <c r="P21" s="20" t="n">
        <v>19150</v>
      </c>
      <c r="Q21" s="21" t="s">
        <v>24</v>
      </c>
      <c r="R21" s="67">
        <f>P21/O21</f>
        <v/>
      </c>
      <c r="S21" s="198">
        <f>P21/X21</f>
        <v/>
      </c>
      <c r="T21" s="306">
        <f>O21-H21</f>
        <v/>
      </c>
      <c r="U21" s="306" t="n"/>
      <c r="V21" s="306" t="n"/>
      <c r="W21" s="306" t="n">
        <v>14640</v>
      </c>
      <c r="X21" s="306">
        <f>AVERAGE(U21:W21)</f>
        <v/>
      </c>
      <c r="Y21" s="306">
        <f>Z21/0.01</f>
        <v/>
      </c>
      <c r="Z21" s="306" t="n">
        <v>475</v>
      </c>
      <c r="AA21" s="135" t="s">
        <v>107</v>
      </c>
    </row>
    <row customHeight="1" ht="36" r="22" s="307" spans="1:48">
      <c r="A22" s="231" t="n">
        <v>2015062910</v>
      </c>
      <c r="B22" s="218" t="s">
        <v>108</v>
      </c>
      <c r="C22" s="219" t="s">
        <v>109</v>
      </c>
      <c r="D22" s="3" t="s">
        <v>2</v>
      </c>
      <c r="E22" s="3" t="n">
        <v>47995</v>
      </c>
      <c r="F22" s="26" t="s">
        <v>4</v>
      </c>
      <c r="G22" s="27" t="n">
        <v>40660</v>
      </c>
      <c r="H22" s="50" t="n">
        <v>33178.74</v>
      </c>
      <c r="I22" s="214" t="n">
        <v>0.1</v>
      </c>
      <c r="J22" s="15" t="n">
        <v>296.96</v>
      </c>
      <c r="K22" s="15" t="n">
        <v>132</v>
      </c>
      <c r="L22" s="26" t="n">
        <v>306</v>
      </c>
      <c r="M22" s="27" t="n">
        <v>41667</v>
      </c>
      <c r="N22" s="25" t="n">
        <v>41698</v>
      </c>
      <c r="O22" s="5" t="n">
        <v>25700</v>
      </c>
      <c r="P22" s="300" t="n">
        <v>12335</v>
      </c>
      <c r="Q22" s="21" t="s">
        <v>24</v>
      </c>
      <c r="R22" s="67">
        <f>P22/O22</f>
        <v/>
      </c>
      <c r="S22" s="198">
        <f>P22/X22</f>
        <v/>
      </c>
      <c r="T22" s="306">
        <f>O22-H22</f>
        <v/>
      </c>
      <c r="U22" s="306" t="n">
        <v>87424</v>
      </c>
      <c r="V22" s="306" t="n"/>
      <c r="W22" s="306" t="n">
        <v>68000</v>
      </c>
      <c r="X22" s="306">
        <f>AVERAGE(U22:W22)</f>
        <v/>
      </c>
      <c r="Y22" s="306">
        <f>Z22/0.01</f>
        <v/>
      </c>
      <c r="Z22" s="306" t="n">
        <v>805</v>
      </c>
      <c r="AA22" s="134" t="s">
        <v>107</v>
      </c>
    </row>
    <row customHeight="1" ht="40" r="23" s="307" spans="1:48">
      <c r="A23" s="231" t="n">
        <v>39861</v>
      </c>
      <c r="B23" s="219" t="s">
        <v>110</v>
      </c>
      <c r="C23" s="219" t="s">
        <v>111</v>
      </c>
      <c r="D23" s="220" t="s">
        <v>112</v>
      </c>
      <c r="E23" s="220" t="n">
        <v>50126</v>
      </c>
      <c r="F23" s="26" t="s">
        <v>4</v>
      </c>
      <c r="G23" s="25" t="n">
        <v>42076</v>
      </c>
      <c r="H23" s="295" t="n">
        <v>52965.56</v>
      </c>
      <c r="I23" s="222" t="n">
        <v>0.09</v>
      </c>
      <c r="J23" s="5" t="n">
        <v>482.48</v>
      </c>
      <c r="K23" s="5" t="n">
        <v>77.5</v>
      </c>
      <c r="L23" s="220" t="n">
        <v>232</v>
      </c>
      <c r="M23" s="25" t="n">
        <v>42356</v>
      </c>
      <c r="N23" s="25" t="n">
        <v>42370</v>
      </c>
      <c r="O23" s="295" t="n">
        <v>61000</v>
      </c>
      <c r="P23" s="28" t="n">
        <v>43695</v>
      </c>
      <c r="Q23" s="21" t="s">
        <v>24</v>
      </c>
      <c r="R23" s="67">
        <f>P23/O23</f>
        <v/>
      </c>
      <c r="S23" s="198">
        <f>P23/X23</f>
        <v/>
      </c>
      <c r="T23" s="306">
        <f>O23-H23</f>
        <v/>
      </c>
      <c r="U23" s="308" t="n">
        <v>54380</v>
      </c>
      <c r="V23" s="308" t="n">
        <v>45000</v>
      </c>
      <c r="W23" s="308" t="n">
        <v>45000</v>
      </c>
      <c r="X23" s="306">
        <f>AVERAGE(U23:W23)</f>
        <v/>
      </c>
      <c r="Y23" s="306">
        <f>Z23/0.01</f>
        <v/>
      </c>
      <c r="Z23" s="308" t="n">
        <v>750</v>
      </c>
      <c r="AA23" s="321" t="s">
        <v>113</v>
      </c>
    </row>
    <row customHeight="1" ht="47" r="24" s="307" spans="1:48">
      <c r="A24" s="231" t="n">
        <v>2015090825</v>
      </c>
      <c r="B24" s="236" t="s">
        <v>114</v>
      </c>
      <c r="C24" s="236" t="s">
        <v>115</v>
      </c>
      <c r="D24" s="237" t="s">
        <v>74</v>
      </c>
      <c r="E24" s="237" t="s">
        <v>116</v>
      </c>
      <c r="F24" s="237" t="s">
        <v>4</v>
      </c>
      <c r="G24" s="27" t="n">
        <v>38534</v>
      </c>
      <c r="H24" s="5" t="n">
        <v>93540.75999999999</v>
      </c>
      <c r="I24" s="238" t="n">
        <v>0.06375</v>
      </c>
      <c r="J24" s="50" t="n">
        <v>606.4</v>
      </c>
      <c r="K24" s="50" t="n">
        <v>264.86</v>
      </c>
      <c r="L24" s="26" t="n">
        <v>324</v>
      </c>
      <c r="M24" s="27" t="n">
        <v>39600</v>
      </c>
      <c r="N24" s="291" t="n">
        <v>39630</v>
      </c>
      <c r="O24" s="292" t="n">
        <v>36000</v>
      </c>
      <c r="P24" s="301" t="n">
        <v>12600</v>
      </c>
      <c r="Q24" s="302" t="s">
        <v>24</v>
      </c>
      <c r="R24" s="67">
        <f>P24/O24</f>
        <v/>
      </c>
      <c r="S24" s="198">
        <f>P24/X24</f>
        <v/>
      </c>
      <c r="T24" s="306">
        <f>O24-H24</f>
        <v/>
      </c>
      <c r="U24" s="306" t="n">
        <v>92542</v>
      </c>
      <c r="V24" s="306" t="n"/>
      <c r="W24" s="306" t="n">
        <v>48000</v>
      </c>
      <c r="X24" s="306">
        <f>AVERAGE(U24:W24)</f>
        <v/>
      </c>
      <c r="Y24" s="306">
        <f>Z24/0.01</f>
        <v/>
      </c>
      <c r="Z24" s="306" t="n">
        <v>1400</v>
      </c>
      <c r="AA24" s="325" t="s">
        <v>117</v>
      </c>
      <c r="AB24" s="22" t="n"/>
      <c r="AC24" s="22" t="n"/>
    </row>
    <row customHeight="1" ht="20.25" r="25" s="307" spans="1:48">
      <c r="A25" s="231" t="n">
        <v>2015090841</v>
      </c>
      <c r="B25" s="232" t="s">
        <v>118</v>
      </c>
      <c r="C25" s="226" t="s">
        <v>119</v>
      </c>
      <c r="D25" s="227" t="s">
        <v>74</v>
      </c>
      <c r="E25" s="227" t="s">
        <v>120</v>
      </c>
      <c r="F25" s="227" t="s">
        <v>4</v>
      </c>
      <c r="G25" s="27" t="n">
        <v>39386</v>
      </c>
      <c r="H25" s="50" t="n">
        <v>138552.61</v>
      </c>
      <c r="I25" s="214" t="n">
        <v>0.10625</v>
      </c>
      <c r="J25" s="15" t="n">
        <v>1352.88</v>
      </c>
      <c r="K25" s="15" t="n">
        <v>733.86</v>
      </c>
      <c r="L25" s="26" t="n">
        <v>244</v>
      </c>
      <c r="M25" s="27" t="n">
        <v>41579</v>
      </c>
      <c r="N25" s="25" t="n">
        <v>41609</v>
      </c>
      <c r="O25" s="288" t="n">
        <v>29000</v>
      </c>
      <c r="P25" s="20" t="n">
        <v>11600</v>
      </c>
      <c r="Q25" s="21" t="s">
        <v>24</v>
      </c>
      <c r="R25" s="67">
        <f>P25/O25</f>
        <v/>
      </c>
      <c r="S25" s="198">
        <f>P25/X25</f>
        <v/>
      </c>
      <c r="T25" s="306">
        <f>O25-H25</f>
        <v/>
      </c>
      <c r="U25" s="306" t="n">
        <v>61914</v>
      </c>
      <c r="V25" s="306" t="n"/>
      <c r="W25" s="306" t="n"/>
      <c r="X25" s="306">
        <f>AVERAGE(U25:W25)</f>
        <v/>
      </c>
      <c r="Y25" s="306">
        <f>Z25/0.01</f>
        <v/>
      </c>
      <c r="Z25" s="306" t="n">
        <v>975</v>
      </c>
      <c r="AA25" s="134" t="s">
        <v>121</v>
      </c>
    </row>
    <row customHeight="1" ht="20.25" r="26" s="307" spans="1:48">
      <c r="A26" s="231" t="n">
        <v>50044</v>
      </c>
      <c r="B26" s="255" t="s">
        <v>122</v>
      </c>
      <c r="C26" s="255" t="s">
        <v>123</v>
      </c>
      <c r="D26" s="256" t="s">
        <v>124</v>
      </c>
      <c r="E26" s="256" t="s">
        <v>125</v>
      </c>
      <c r="F26" s="254" t="s">
        <v>4</v>
      </c>
      <c r="G26" s="246" t="n">
        <v>40644</v>
      </c>
      <c r="H26" s="247" t="n">
        <v>23384.05</v>
      </c>
      <c r="I26" s="249" t="n">
        <v>0.09</v>
      </c>
      <c r="J26" s="247" t="n">
        <v>325</v>
      </c>
      <c r="K26" s="247" t="n">
        <v>123.45</v>
      </c>
      <c r="L26" s="245" t="n">
        <v>106</v>
      </c>
      <c r="M26" s="246" t="n">
        <v>42353</v>
      </c>
      <c r="N26" s="246" t="n">
        <v>42370</v>
      </c>
      <c r="O26" s="295" t="n">
        <v>33000</v>
      </c>
      <c r="P26" s="20" t="n">
        <v>19290</v>
      </c>
      <c r="Q26" s="21" t="s">
        <v>24</v>
      </c>
      <c r="R26" s="67">
        <f>P26/O26</f>
        <v/>
      </c>
      <c r="S26" s="198">
        <f>P26/X26</f>
        <v/>
      </c>
      <c r="T26" s="306">
        <f>O26-H26</f>
        <v/>
      </c>
      <c r="U26" s="306" t="n">
        <v>39371</v>
      </c>
      <c r="V26" s="306" t="n"/>
      <c r="W26" s="306" t="n">
        <v>57000</v>
      </c>
      <c r="X26" s="306">
        <f>AVERAGE(U26:W26)</f>
        <v/>
      </c>
      <c r="Y26" s="306">
        <f>Z26/0.01</f>
        <v/>
      </c>
      <c r="Z26" s="306" t="n">
        <v>750</v>
      </c>
      <c r="AA26" s="134" t="s">
        <v>126</v>
      </c>
      <c r="AB26" s="22" t="n"/>
      <c r="AC26" s="22" t="n"/>
      <c r="AD26" s="22" t="n"/>
      <c r="AE26" s="22" t="n"/>
      <c r="AF26" s="22" t="n"/>
      <c r="AG26" s="22" t="n"/>
      <c r="AH26" s="22" t="n"/>
      <c r="AI26" s="22" t="n"/>
      <c r="AJ26" s="22" t="n"/>
      <c r="AK26" s="22" t="n"/>
      <c r="AL26" s="22" t="n"/>
      <c r="AM26" s="22" t="n"/>
      <c r="AN26" s="22" t="n"/>
      <c r="AO26" s="22" t="n"/>
      <c r="AP26" s="22" t="n"/>
      <c r="AQ26" s="22" t="n"/>
      <c r="AR26" s="22" t="n"/>
      <c r="AS26" s="22" t="n"/>
      <c r="AT26" s="22" t="n"/>
      <c r="AU26" s="22" t="n"/>
      <c r="AV26" s="22" t="n"/>
    </row>
    <row customHeight="1" ht="20.25" r="27" s="307" spans="1:48">
      <c r="A27" s="224" t="n">
        <v>2015110408</v>
      </c>
      <c r="B27" s="225" t="s">
        <v>127</v>
      </c>
      <c r="C27" s="226" t="s">
        <v>128</v>
      </c>
      <c r="D27" s="227" t="s">
        <v>129</v>
      </c>
      <c r="E27" s="227" t="s">
        <v>130</v>
      </c>
      <c r="F27" s="220" t="s">
        <v>4</v>
      </c>
      <c r="G27" s="27" t="n">
        <v>36497</v>
      </c>
      <c r="H27" s="50" t="n">
        <v>35340.88</v>
      </c>
      <c r="I27" s="222" t="n">
        <v>0.09619999999999999</v>
      </c>
      <c r="J27" s="50" t="n">
        <v>341.38</v>
      </c>
      <c r="K27" s="50" t="n">
        <v>41.38</v>
      </c>
      <c r="L27" s="26" t="n">
        <v>222</v>
      </c>
      <c r="M27" s="27" t="n">
        <v>40497</v>
      </c>
      <c r="N27" s="291" t="n">
        <v>40527</v>
      </c>
      <c r="O27" s="292" t="n">
        <v>29000</v>
      </c>
      <c r="P27" s="301" t="n">
        <v>8750</v>
      </c>
      <c r="Q27" s="21" t="s">
        <v>24</v>
      </c>
      <c r="R27" s="67">
        <f>P27/O27</f>
        <v/>
      </c>
      <c r="S27" s="198">
        <f>P27/X27</f>
        <v/>
      </c>
      <c r="T27" s="306">
        <f>O27-H27</f>
        <v/>
      </c>
      <c r="U27" s="306" t="n">
        <v>57643</v>
      </c>
      <c r="V27" s="306" t="n">
        <v>60000</v>
      </c>
      <c r="W27" s="306" t="n">
        <v>77670</v>
      </c>
      <c r="X27" s="306">
        <f>AVERAGE(U27:W27)</f>
        <v/>
      </c>
      <c r="Y27" s="306">
        <f>Z27/0.01</f>
        <v/>
      </c>
      <c r="Z27" s="306" t="n">
        <v>540</v>
      </c>
      <c r="AA27" s="325" t="s">
        <v>131</v>
      </c>
    </row>
    <row customHeight="1" ht="20.25" r="28" s="307" spans="1:48">
      <c r="A28" s="231" t="n">
        <v>2015090827</v>
      </c>
      <c r="B28" s="236" t="s">
        <v>132</v>
      </c>
      <c r="C28" s="236" t="s">
        <v>133</v>
      </c>
      <c r="D28" s="237" t="s">
        <v>23</v>
      </c>
      <c r="E28" s="237" t="s">
        <v>134</v>
      </c>
      <c r="F28" s="237" t="s">
        <v>4</v>
      </c>
      <c r="G28" s="27" t="n">
        <v>38869</v>
      </c>
      <c r="H28" s="5" t="n">
        <v>35620.28</v>
      </c>
      <c r="I28" s="238" t="n">
        <v>0.0713</v>
      </c>
      <c r="J28" s="50" t="n">
        <v>450.44</v>
      </c>
      <c r="K28" s="50" t="n">
        <v>0</v>
      </c>
      <c r="L28" s="26" t="n">
        <v>300</v>
      </c>
      <c r="M28" s="293" t="n">
        <v>40664</v>
      </c>
      <c r="N28" s="291" t="n">
        <v>40695</v>
      </c>
      <c r="O28" s="292" t="n">
        <v>27000</v>
      </c>
      <c r="P28" s="116" t="n">
        <v>9450</v>
      </c>
      <c r="Q28" s="302" t="s">
        <v>24</v>
      </c>
      <c r="R28" s="67">
        <f>P28/O28</f>
        <v/>
      </c>
      <c r="S28" s="198">
        <f>P28/X28</f>
        <v/>
      </c>
      <c r="T28" s="306">
        <f>O28-H28</f>
        <v/>
      </c>
      <c r="U28" s="306" t="n">
        <v>41386</v>
      </c>
      <c r="V28" s="306" t="n">
        <v>45000</v>
      </c>
      <c r="W28" s="306" t="n">
        <v>63390</v>
      </c>
      <c r="X28" s="306">
        <f>AVERAGE(U28:W28)</f>
        <v/>
      </c>
      <c r="Y28" s="306">
        <f>Z28/0.01</f>
        <v/>
      </c>
      <c r="Z28" s="306" t="n">
        <v>695</v>
      </c>
      <c r="AA28" s="139" t="s">
        <v>135</v>
      </c>
      <c r="AB28" s="22" t="n"/>
      <c r="AC28" s="22" t="n"/>
    </row>
    <row customHeight="1" ht="33.75" r="29" s="307" spans="1:48">
      <c r="A29" s="212" t="n">
        <v>48897</v>
      </c>
      <c r="B29" s="216" t="s">
        <v>136</v>
      </c>
      <c r="C29" s="216" t="s">
        <v>137</v>
      </c>
      <c r="D29" s="245" t="s">
        <v>65</v>
      </c>
      <c r="E29" s="245" t="n">
        <v>37748</v>
      </c>
      <c r="F29" s="245" t="s">
        <v>4</v>
      </c>
      <c r="G29" s="246" t="n">
        <v>40124</v>
      </c>
      <c r="H29" s="247" t="n">
        <v>17582.59</v>
      </c>
      <c r="I29" s="249" t="n">
        <v>0.0725</v>
      </c>
      <c r="J29" s="250" t="n">
        <v>258.99</v>
      </c>
      <c r="K29" s="250" t="n">
        <v>66.26000000000001</v>
      </c>
      <c r="L29" s="245" t="n">
        <v>81</v>
      </c>
      <c r="M29" s="246" t="n">
        <v>42374</v>
      </c>
      <c r="N29" s="246" t="n">
        <v>42345</v>
      </c>
      <c r="O29" s="5" t="n">
        <v>20000</v>
      </c>
      <c r="P29" s="20" t="n">
        <v>14065</v>
      </c>
      <c r="Q29" s="21" t="s">
        <v>24</v>
      </c>
      <c r="R29" s="67">
        <f>P29/O29</f>
        <v/>
      </c>
      <c r="S29" s="198">
        <f>P29/X29</f>
        <v/>
      </c>
      <c r="T29" s="306">
        <f>O29-H29</f>
        <v/>
      </c>
      <c r="U29" s="306" t="n">
        <v>45702</v>
      </c>
      <c r="V29" s="306" t="n">
        <v>37000</v>
      </c>
      <c r="W29" s="306" t="n">
        <v>41000</v>
      </c>
      <c r="X29" s="306">
        <f>AVERAGE(U29:W29)</f>
        <v/>
      </c>
      <c r="Y29" s="306">
        <f>Z29/0.01</f>
        <v/>
      </c>
      <c r="Z29" s="306" t="n">
        <v>650</v>
      </c>
      <c r="AA29" s="324" t="s">
        <v>138</v>
      </c>
      <c r="AD29" s="22" t="n"/>
      <c r="AE29" s="22" t="n"/>
      <c r="AF29" s="22" t="n"/>
      <c r="AG29" s="22" t="n"/>
      <c r="AH29" s="22" t="n"/>
      <c r="AI29" s="22" t="n"/>
      <c r="AJ29" s="22" t="n"/>
      <c r="AK29" s="22" t="n"/>
      <c r="AL29" s="22" t="n"/>
      <c r="AM29" s="22" t="n"/>
      <c r="AN29" s="22" t="n"/>
      <c r="AO29" s="22" t="n"/>
      <c r="AP29" s="22" t="n"/>
      <c r="AQ29" s="22" t="n"/>
      <c r="AR29" s="22" t="n"/>
      <c r="AS29" s="22" t="n"/>
      <c r="AT29" s="22" t="n"/>
      <c r="AU29" s="22" t="n"/>
      <c r="AV29" s="22" t="n"/>
    </row>
    <row customHeight="1" ht="20.25" r="30" s="307" spans="1:48">
      <c r="A30" s="265" t="n">
        <v>2015100504</v>
      </c>
      <c r="B30" s="266" t="s">
        <v>139</v>
      </c>
      <c r="C30" s="255" t="s">
        <v>140</v>
      </c>
      <c r="D30" s="267" t="s">
        <v>141</v>
      </c>
      <c r="E30" s="267" t="s">
        <v>142</v>
      </c>
      <c r="F30" s="26" t="s">
        <v>4</v>
      </c>
      <c r="G30" s="25" t="n">
        <v>40664</v>
      </c>
      <c r="H30" s="247" t="n">
        <v>19450.39</v>
      </c>
      <c r="I30" s="248" t="n">
        <v>0.09</v>
      </c>
      <c r="J30" s="247" t="n">
        <v>605</v>
      </c>
      <c r="K30" s="247" t="n">
        <v>280</v>
      </c>
      <c r="L30" s="245" t="n">
        <v>37</v>
      </c>
      <c r="M30" s="246" t="n">
        <v>42360</v>
      </c>
      <c r="N30" s="246" t="n">
        <v>42370</v>
      </c>
      <c r="O30" s="295" t="n">
        <v>72000</v>
      </c>
      <c r="P30" s="20" t="n">
        <v>16045</v>
      </c>
      <c r="Q30" s="21" t="s">
        <v>24</v>
      </c>
      <c r="R30" s="67">
        <f>P30/O30</f>
        <v/>
      </c>
      <c r="S30" s="198">
        <f>P30/X30</f>
        <v/>
      </c>
      <c r="T30" s="306">
        <f>O30-H30</f>
        <v/>
      </c>
      <c r="U30" s="306" t="n">
        <v>77404</v>
      </c>
      <c r="V30" s="306" t="n"/>
      <c r="W30" s="306" t="n">
        <v>61000</v>
      </c>
      <c r="X30" s="306">
        <f>AVERAGE(U30:W30)</f>
        <v/>
      </c>
      <c r="Y30" s="306">
        <f>Z30/0.01</f>
        <v/>
      </c>
      <c r="Z30" s="306" t="n">
        <v>1200</v>
      </c>
      <c r="AA30" s="141" t="s">
        <v>143</v>
      </c>
      <c r="AD30" s="22" t="n"/>
      <c r="AE30" s="22" t="n"/>
      <c r="AF30" s="22" t="n"/>
      <c r="AG30" s="22" t="n"/>
      <c r="AH30" s="22" t="n"/>
      <c r="AI30" s="22" t="n"/>
      <c r="AJ30" s="22" t="n"/>
      <c r="AK30" s="22" t="n"/>
      <c r="AL30" s="22" t="n"/>
      <c r="AM30" s="22" t="n"/>
      <c r="AN30" s="22" t="n"/>
      <c r="AO30" s="22" t="n"/>
      <c r="AP30" s="22" t="n"/>
      <c r="AQ30" s="22" t="n"/>
      <c r="AR30" s="22" t="n"/>
      <c r="AS30" s="22" t="n"/>
      <c r="AT30" s="22" t="n"/>
      <c r="AU30" s="22" t="n"/>
      <c r="AV30" s="22" t="n"/>
    </row>
    <row customHeight="1" ht="20.25" r="31" s="307" spans="1:48">
      <c r="A31" s="231" t="n">
        <v>2015090810</v>
      </c>
      <c r="B31" s="226" t="s">
        <v>144</v>
      </c>
      <c r="C31" s="226" t="s">
        <v>145</v>
      </c>
      <c r="D31" s="227" t="s">
        <v>2</v>
      </c>
      <c r="E31" s="227" t="s">
        <v>146</v>
      </c>
      <c r="F31" s="227" t="s">
        <v>4</v>
      </c>
      <c r="G31" s="25" t="n">
        <v>38899</v>
      </c>
      <c r="H31" s="5" t="n">
        <v>59867.83</v>
      </c>
      <c r="I31" s="235" t="n">
        <v>0.0825</v>
      </c>
      <c r="J31" s="50" t="n">
        <v>480.74</v>
      </c>
      <c r="K31" s="50" t="n">
        <v>75.91</v>
      </c>
      <c r="L31" s="26" t="n">
        <v>264</v>
      </c>
      <c r="M31" s="27" t="n">
        <v>41760</v>
      </c>
      <c r="N31" s="289" t="n">
        <v>41791</v>
      </c>
      <c r="O31" s="290" t="n">
        <v>35000</v>
      </c>
      <c r="P31" s="300" t="n">
        <v>17000</v>
      </c>
      <c r="Q31" s="21" t="s">
        <v>24</v>
      </c>
      <c r="R31" s="67">
        <f>P31/O31</f>
        <v/>
      </c>
      <c r="S31" s="198">
        <f>P31/X31</f>
        <v/>
      </c>
      <c r="T31" s="306">
        <f>O31-H31</f>
        <v/>
      </c>
      <c r="U31" s="306" t="n">
        <v>48500</v>
      </c>
      <c r="V31" s="306" t="n"/>
      <c r="W31" s="306" t="n">
        <v>61000</v>
      </c>
      <c r="X31" s="306">
        <f>AVERAGE(U31:W31)</f>
        <v/>
      </c>
      <c r="Y31" s="306">
        <f>Z31/0.01</f>
        <v/>
      </c>
      <c r="Z31" s="306" t="n"/>
      <c r="AA31" s="134" t="s">
        <v>147</v>
      </c>
    </row>
    <row customHeight="1" ht="20.25" r="32" s="307" spans="1:48">
      <c r="A32" s="212" t="n">
        <v>26593</v>
      </c>
      <c r="B32" s="218" t="s">
        <v>148</v>
      </c>
      <c r="C32" s="219" t="s">
        <v>149</v>
      </c>
      <c r="D32" s="220" t="s">
        <v>124</v>
      </c>
      <c r="E32" s="220" t="n">
        <v>48234</v>
      </c>
      <c r="F32" s="220" t="s">
        <v>4</v>
      </c>
      <c r="G32" s="27" t="n">
        <v>38625</v>
      </c>
      <c r="H32" s="50" t="n">
        <v>24501.07</v>
      </c>
      <c r="I32" s="214" t="n">
        <v>0.09</v>
      </c>
      <c r="J32" s="15" t="n">
        <v>227.18</v>
      </c>
      <c r="K32" s="15" t="n">
        <v>125.78</v>
      </c>
      <c r="L32" s="26" t="n">
        <v>272</v>
      </c>
      <c r="M32" s="27" t="n">
        <v>41380</v>
      </c>
      <c r="N32" s="25" t="n">
        <v>41334</v>
      </c>
      <c r="O32" s="5" t="n">
        <v>17000</v>
      </c>
      <c r="P32" s="20" t="n">
        <v>5100</v>
      </c>
      <c r="Q32" s="21" t="s">
        <v>24</v>
      </c>
      <c r="R32" s="67">
        <f>P32/O32</f>
        <v/>
      </c>
      <c r="S32" s="185">
        <f>P32/X32</f>
        <v/>
      </c>
      <c r="T32" s="306">
        <f>O32-H32</f>
        <v/>
      </c>
      <c r="U32" s="306" t="n">
        <v>30562</v>
      </c>
      <c r="V32" s="306" t="n">
        <v>34000</v>
      </c>
      <c r="W32" s="306" t="n">
        <v>43000</v>
      </c>
      <c r="X32" s="306">
        <f>AVERAGE(U32:W32)</f>
        <v/>
      </c>
      <c r="Y32" s="306">
        <f>Z32/0.01</f>
        <v/>
      </c>
      <c r="Z32" s="306" t="n">
        <v>450</v>
      </c>
      <c r="AA32" s="134" t="s">
        <v>150</v>
      </c>
    </row>
    <row customHeight="1" ht="20.25" r="33" s="307" spans="1:48">
      <c r="A33" s="212" t="n">
        <v>2515</v>
      </c>
      <c r="B33" s="215" t="s">
        <v>151</v>
      </c>
      <c r="C33" s="216" t="s">
        <v>149</v>
      </c>
      <c r="D33" s="220" t="s">
        <v>124</v>
      </c>
      <c r="E33" s="220" t="n">
        <v>48234</v>
      </c>
      <c r="F33" s="220" t="s">
        <v>4</v>
      </c>
      <c r="G33" s="27" t="n">
        <v>40482</v>
      </c>
      <c r="H33" s="50" t="n">
        <v>20413.55</v>
      </c>
      <c r="I33" s="214" t="n">
        <v>0.09</v>
      </c>
      <c r="J33" s="15" t="n">
        <v>190.98</v>
      </c>
      <c r="K33" s="15" t="n">
        <v>180</v>
      </c>
      <c r="L33" s="26" t="n">
        <v>217</v>
      </c>
      <c r="M33" s="27" t="n">
        <v>41257</v>
      </c>
      <c r="N33" s="25" t="n">
        <v>41258</v>
      </c>
      <c r="O33" s="5" t="n">
        <v>19000</v>
      </c>
      <c r="P33" s="20" t="n">
        <v>5500</v>
      </c>
      <c r="Q33" s="21" t="s">
        <v>24</v>
      </c>
      <c r="R33" s="185">
        <f>P33/O33</f>
        <v/>
      </c>
      <c r="S33" s="185">
        <f>P33/X33</f>
        <v/>
      </c>
      <c r="T33" s="189">
        <f>O33-H33</f>
        <v/>
      </c>
      <c r="U33" s="306" t="n">
        <v>30871</v>
      </c>
      <c r="V33" s="306" t="n">
        <v>31000</v>
      </c>
      <c r="W33" s="306" t="n">
        <v>58000</v>
      </c>
      <c r="X33" s="306">
        <f>AVERAGE(U33:W33)</f>
        <v/>
      </c>
      <c r="Y33" s="306">
        <f>Z33/0.01</f>
        <v/>
      </c>
      <c r="Z33" s="306" t="n">
        <v>470</v>
      </c>
      <c r="AA33" s="134" t="s">
        <v>152</v>
      </c>
    </row>
    <row customHeight="1" ht="20.25" r="34" s="307" spans="1:48">
      <c r="A34" s="231" t="n">
        <v>2015090817</v>
      </c>
      <c r="B34" s="225" t="s">
        <v>153</v>
      </c>
      <c r="C34" s="226" t="s">
        <v>154</v>
      </c>
      <c r="D34" s="227" t="s">
        <v>155</v>
      </c>
      <c r="E34" s="227" t="s">
        <v>156</v>
      </c>
      <c r="F34" s="26" t="s">
        <v>4</v>
      </c>
      <c r="G34" s="27" t="n">
        <v>37232</v>
      </c>
      <c r="H34" s="50" t="n">
        <v>43993.78</v>
      </c>
      <c r="I34" s="214" t="n">
        <v>0.114</v>
      </c>
      <c r="J34" s="15" t="n">
        <v>468.73</v>
      </c>
      <c r="K34" s="15" t="n">
        <v>0</v>
      </c>
      <c r="L34" s="26" t="n">
        <v>171</v>
      </c>
      <c r="M34" s="27" t="n">
        <v>41791</v>
      </c>
      <c r="N34" s="25" t="n">
        <v>41821</v>
      </c>
      <c r="O34" s="295" t="n">
        <v>17000</v>
      </c>
      <c r="P34" s="20" t="n">
        <v>6250</v>
      </c>
      <c r="Q34" s="21" t="s">
        <v>24</v>
      </c>
      <c r="R34" s="67">
        <f>P34/O34</f>
        <v/>
      </c>
      <c r="S34" s="198">
        <f>P34/X34</f>
        <v/>
      </c>
      <c r="T34" s="306">
        <f>O34-H34</f>
        <v/>
      </c>
      <c r="U34" s="306" t="n">
        <v>67062</v>
      </c>
      <c r="V34" s="306" t="n">
        <v>91000</v>
      </c>
      <c r="W34" s="306" t="n">
        <v>80900</v>
      </c>
      <c r="X34" s="306">
        <f>AVERAGE(U34:W34)</f>
        <v/>
      </c>
      <c r="Y34" s="306">
        <f>Z34/0.01</f>
        <v/>
      </c>
      <c r="Z34" s="306" t="n">
        <v>775</v>
      </c>
      <c r="AA34" s="135" t="s">
        <v>157</v>
      </c>
    </row>
    <row customHeight="1" ht="20.25" r="35" s="307" spans="1:48">
      <c r="A35" s="231" t="n">
        <v>2015090846</v>
      </c>
      <c r="B35" s="225" t="s">
        <v>158</v>
      </c>
      <c r="C35" s="226" t="s">
        <v>159</v>
      </c>
      <c r="D35" s="227" t="s">
        <v>2</v>
      </c>
      <c r="E35" s="227" t="s">
        <v>160</v>
      </c>
      <c r="F35" s="26" t="s">
        <v>4</v>
      </c>
      <c r="G35" s="27" t="n">
        <v>38566</v>
      </c>
      <c r="H35" s="50" t="n">
        <v>84700.95</v>
      </c>
      <c r="I35" s="214" t="n">
        <v>0.0725</v>
      </c>
      <c r="J35" s="15" t="n">
        <v>570.03</v>
      </c>
      <c r="K35" s="15" t="n">
        <v>0</v>
      </c>
      <c r="L35" s="26" t="n">
        <v>239</v>
      </c>
      <c r="M35" s="27" t="n">
        <v>40483</v>
      </c>
      <c r="N35" s="25" t="n">
        <v>40513</v>
      </c>
      <c r="O35" s="50" t="n">
        <v>42000</v>
      </c>
      <c r="P35" s="116" t="n">
        <v>18900</v>
      </c>
      <c r="Q35" s="21" t="s">
        <v>24</v>
      </c>
      <c r="R35" s="67">
        <f>P35/O35</f>
        <v/>
      </c>
      <c r="S35" s="198">
        <f>P35/X35</f>
        <v/>
      </c>
      <c r="T35" s="306">
        <f>O35-H35</f>
        <v/>
      </c>
      <c r="U35" s="306" t="n">
        <v>73909</v>
      </c>
      <c r="V35" s="306" t="n"/>
      <c r="W35" s="306" t="n"/>
      <c r="X35" s="306">
        <f>AVERAGE(U35:W35)</f>
        <v/>
      </c>
      <c r="Y35" s="306">
        <f>Z35/0.01</f>
        <v/>
      </c>
      <c r="Z35" s="306" t="n">
        <v>940</v>
      </c>
      <c r="AA35" s="134" t="s">
        <v>161</v>
      </c>
      <c r="AB35" s="22" t="n"/>
      <c r="AC35" s="22" t="n"/>
    </row>
    <row customHeight="1" ht="20.25" r="36" s="307" spans="1:48">
      <c r="A36" s="224" t="n">
        <v>2015110409</v>
      </c>
      <c r="B36" s="225" t="s">
        <v>162</v>
      </c>
      <c r="C36" s="226" t="s">
        <v>163</v>
      </c>
      <c r="D36" s="227" t="s">
        <v>141</v>
      </c>
      <c r="E36" s="227" t="s">
        <v>164</v>
      </c>
      <c r="F36" s="220" t="s">
        <v>4</v>
      </c>
      <c r="G36" s="27" t="n">
        <v>38626</v>
      </c>
      <c r="H36" s="50" t="n">
        <v>113376.92</v>
      </c>
      <c r="I36" s="222" t="n">
        <v>0.0759</v>
      </c>
      <c r="J36" s="50" t="n">
        <v>899.66</v>
      </c>
      <c r="K36" s="50" t="n">
        <v>298.08</v>
      </c>
      <c r="L36" s="26" t="n">
        <v>253</v>
      </c>
      <c r="M36" s="27" t="n">
        <v>41791</v>
      </c>
      <c r="N36" s="289" t="n">
        <v>41821</v>
      </c>
      <c r="O36" s="290" t="n">
        <v>33000</v>
      </c>
      <c r="P36" s="300" t="n">
        <v>10785</v>
      </c>
      <c r="Q36" s="21" t="s">
        <v>24</v>
      </c>
      <c r="R36" s="67">
        <f>P36/O36</f>
        <v/>
      </c>
      <c r="S36" s="198">
        <f>P36/X36</f>
        <v/>
      </c>
      <c r="T36" s="306">
        <f>O36-H36</f>
        <v/>
      </c>
      <c r="U36" s="306" t="n">
        <v>68573</v>
      </c>
      <c r="V36" s="306" t="n">
        <v>78000</v>
      </c>
      <c r="W36" s="306" t="n">
        <v>84000</v>
      </c>
      <c r="X36" s="306">
        <f>AVERAGE(U36:W36)</f>
        <v/>
      </c>
      <c r="Y36" s="306">
        <f>Z36/0.01</f>
        <v/>
      </c>
      <c r="Z36" s="306" t="n">
        <v>472</v>
      </c>
      <c r="AA36" s="134" t="s">
        <v>165</v>
      </c>
    </row>
    <row customFormat="1" customHeight="1" ht="20.25" r="37" s="23" spans="1:48">
      <c r="A37" s="231" t="n">
        <v>2015090801</v>
      </c>
      <c r="B37" s="236" t="s">
        <v>166</v>
      </c>
      <c r="C37" s="226" t="s">
        <v>167</v>
      </c>
      <c r="D37" s="227" t="s">
        <v>106</v>
      </c>
      <c r="E37" s="227" t="s">
        <v>168</v>
      </c>
      <c r="F37" s="26" t="s">
        <v>4</v>
      </c>
      <c r="G37" s="25" t="n">
        <v>39904</v>
      </c>
      <c r="H37" s="50" t="n">
        <v>102649.1</v>
      </c>
      <c r="I37" s="214" t="n">
        <v>0.05</v>
      </c>
      <c r="J37" s="50" t="n">
        <v>553.04</v>
      </c>
      <c r="K37" s="50" t="n">
        <v>305.03</v>
      </c>
      <c r="L37" s="26" t="n">
        <v>302</v>
      </c>
      <c r="M37" s="27" t="n">
        <v>41745</v>
      </c>
      <c r="N37" s="25" t="n">
        <v>42217</v>
      </c>
      <c r="O37" s="295" t="n">
        <v>23500</v>
      </c>
      <c r="P37" s="20" t="n">
        <v>7050</v>
      </c>
      <c r="Q37" s="21" t="s">
        <v>24</v>
      </c>
      <c r="R37" s="67">
        <f>P37/O37</f>
        <v/>
      </c>
      <c r="S37" s="198">
        <f>P37/X37</f>
        <v/>
      </c>
      <c r="T37" s="306">
        <f>O37-H37</f>
        <v/>
      </c>
      <c r="U37" s="306" t="n"/>
      <c r="V37" s="306" t="n"/>
      <c r="W37" s="306" t="n"/>
      <c r="X37" s="306">
        <f>AVERAGE(U37:W37)</f>
        <v/>
      </c>
      <c r="Y37" s="306">
        <f>Z37/0.01</f>
        <v/>
      </c>
      <c r="Z37" s="306" t="n"/>
      <c r="AA37" s="134" t="s">
        <v>165</v>
      </c>
      <c r="AB37" s="22" t="n"/>
      <c r="AC37" s="22" t="n"/>
    </row>
    <row customFormat="1" customHeight="1" ht="20.25" r="38" s="22" spans="1:48">
      <c r="A38" s="221" t="n">
        <v>40576</v>
      </c>
      <c r="B38" s="219" t="s">
        <v>169</v>
      </c>
      <c r="C38" s="219" t="s">
        <v>56</v>
      </c>
      <c r="D38" s="220" t="s">
        <v>28</v>
      </c>
      <c r="E38" s="220" t="n">
        <v>45205</v>
      </c>
      <c r="F38" s="26" t="s">
        <v>4</v>
      </c>
      <c r="G38" s="25" t="n">
        <v>41667</v>
      </c>
      <c r="H38" s="295" t="n">
        <v>35234.26</v>
      </c>
      <c r="I38" s="222" t="n">
        <v>0.08</v>
      </c>
      <c r="J38" s="5" t="n">
        <v>309.06</v>
      </c>
      <c r="K38" s="5" t="n">
        <v>138.81</v>
      </c>
      <c r="L38" s="220" t="n">
        <v>218</v>
      </c>
      <c r="M38" s="25" t="n">
        <v>42375</v>
      </c>
      <c r="N38" s="25" t="n">
        <v>42401</v>
      </c>
      <c r="O38" s="295" t="n">
        <v>48900</v>
      </c>
      <c r="P38" s="28" t="n">
        <v>29070</v>
      </c>
      <c r="Q38" s="21" t="s">
        <v>24</v>
      </c>
      <c r="R38" s="67">
        <f>P38/O38</f>
        <v/>
      </c>
      <c r="S38" s="198">
        <f>P38/X38</f>
        <v/>
      </c>
      <c r="T38" s="306">
        <f>O38-H38</f>
        <v/>
      </c>
      <c r="U38" s="306" t="n">
        <v>80956</v>
      </c>
      <c r="V38" s="306" t="n">
        <v>65000</v>
      </c>
      <c r="W38" s="306" t="n">
        <v>60000</v>
      </c>
      <c r="X38" s="306">
        <f>AVERAGE(U38:W38)</f>
        <v/>
      </c>
      <c r="Y38" s="306" t="n">
        <v>825</v>
      </c>
      <c r="Z38" s="306" t="n"/>
      <c r="AA38" s="134" t="s">
        <v>170</v>
      </c>
    </row>
    <row customFormat="1" customHeight="1" ht="20.25" r="39" s="22" spans="1:48">
      <c r="A39" s="221" t="n">
        <v>39813</v>
      </c>
      <c r="B39" s="218" t="s">
        <v>171</v>
      </c>
      <c r="C39" s="219" t="s">
        <v>172</v>
      </c>
      <c r="D39" s="220" t="s">
        <v>173</v>
      </c>
      <c r="E39" s="220" t="n">
        <v>64110</v>
      </c>
      <c r="F39" s="220" t="s">
        <v>4</v>
      </c>
      <c r="G39" s="27" t="n">
        <v>41100</v>
      </c>
      <c r="H39" s="50" t="n">
        <v>44638.6</v>
      </c>
      <c r="I39" s="214" t="n">
        <v>0.0999</v>
      </c>
      <c r="J39" s="15" t="n">
        <v>440</v>
      </c>
      <c r="K39" s="15" t="n">
        <v>81.04000000000001</v>
      </c>
      <c r="L39" s="26" t="n">
        <v>218</v>
      </c>
      <c r="M39" s="27" t="n">
        <v>41913</v>
      </c>
      <c r="N39" s="25" t="n">
        <v>41852</v>
      </c>
      <c r="O39" s="295" t="n">
        <v>22500</v>
      </c>
      <c r="P39" s="20" t="n">
        <v>6750</v>
      </c>
      <c r="Q39" s="21" t="s">
        <v>24</v>
      </c>
      <c r="R39" s="67">
        <f>P39/O39</f>
        <v/>
      </c>
      <c r="S39" s="185">
        <f>P39/X39</f>
        <v/>
      </c>
      <c r="T39" s="306">
        <f>O39-H39</f>
        <v/>
      </c>
      <c r="U39" s="306" t="n">
        <v>50687</v>
      </c>
      <c r="V39" s="306" t="n"/>
      <c r="W39" s="306" t="n">
        <v>51150</v>
      </c>
      <c r="X39" s="306">
        <f>AVERAGE(U39:W39)</f>
        <v/>
      </c>
      <c r="Y39" s="306">
        <f>Z39/0.01</f>
        <v/>
      </c>
      <c r="Z39" s="306" t="n">
        <v>687</v>
      </c>
      <c r="AA39" s="134" t="s">
        <v>174</v>
      </c>
    </row>
    <row customFormat="1" customHeight="1" ht="40" r="40" s="145" spans="1:48">
      <c r="A40" s="231" t="n">
        <v>2015090808</v>
      </c>
      <c r="B40" s="226" t="s">
        <v>175</v>
      </c>
      <c r="C40" s="226" t="s">
        <v>176</v>
      </c>
      <c r="D40" s="227" t="s">
        <v>28</v>
      </c>
      <c r="E40" s="227" t="s">
        <v>177</v>
      </c>
      <c r="F40" s="233" t="s">
        <v>178</v>
      </c>
      <c r="G40" s="234" t="n">
        <v>37830</v>
      </c>
      <c r="H40" s="5" t="n">
        <v>35407.2</v>
      </c>
      <c r="I40" s="235" t="n">
        <v>0.09429999999999999</v>
      </c>
      <c r="J40" s="50" t="n">
        <v>319.26</v>
      </c>
      <c r="K40" s="50" t="n">
        <v>51.1</v>
      </c>
      <c r="L40" s="26" t="n">
        <v>264</v>
      </c>
      <c r="M40" s="27" t="n">
        <v>40722</v>
      </c>
      <c r="N40" s="289" t="n">
        <v>40752</v>
      </c>
      <c r="O40" s="290" t="n">
        <v>35000</v>
      </c>
      <c r="P40" s="300" t="n">
        <v>12250</v>
      </c>
      <c r="Q40" s="21" t="s">
        <v>24</v>
      </c>
      <c r="R40" s="67">
        <f>P40/O40</f>
        <v/>
      </c>
      <c r="S40" s="198">
        <f>P40/X40</f>
        <v/>
      </c>
      <c r="T40" s="306">
        <f>O40-H40</f>
        <v/>
      </c>
      <c r="U40" s="306" t="n"/>
      <c r="V40" s="306" t="n"/>
      <c r="W40" s="306" t="n">
        <v>39000</v>
      </c>
      <c r="X40" s="306">
        <f>AVERAGE(U40:W40)</f>
        <v/>
      </c>
      <c r="Y40" s="306">
        <f>Z40/0.01</f>
        <v/>
      </c>
      <c r="Z40" s="306" t="n"/>
      <c r="AA40" s="134" t="s">
        <v>179</v>
      </c>
    </row>
    <row customFormat="1" customHeight="1" ht="20.25" r="41" s="22" spans="1:48">
      <c r="A41" s="231" t="n">
        <v>2015062908</v>
      </c>
      <c r="B41" s="218" t="s">
        <v>180</v>
      </c>
      <c r="C41" s="219" t="s">
        <v>181</v>
      </c>
      <c r="D41" s="3" t="s">
        <v>89</v>
      </c>
      <c r="E41" s="3" t="n">
        <v>28039</v>
      </c>
      <c r="F41" s="26" t="s">
        <v>4</v>
      </c>
      <c r="G41" s="27" t="n">
        <v>40750</v>
      </c>
      <c r="H41" s="50" t="n">
        <v>34163.67</v>
      </c>
      <c r="I41" s="214" t="n">
        <v>0.1</v>
      </c>
      <c r="J41" s="15" t="n">
        <v>300.35</v>
      </c>
      <c r="K41" s="15" t="n">
        <v>51.4</v>
      </c>
      <c r="L41" s="26" t="n">
        <v>309</v>
      </c>
      <c r="M41" s="27" t="n">
        <v>41030</v>
      </c>
      <c r="N41" s="25" t="n">
        <v>41061</v>
      </c>
      <c r="O41" s="5" t="n">
        <v>22400</v>
      </c>
      <c r="P41" s="300" t="n">
        <v>11760</v>
      </c>
      <c r="Q41" s="21" t="s">
        <v>24</v>
      </c>
      <c r="R41" s="67">
        <f>P41/O41</f>
        <v/>
      </c>
      <c r="S41" s="198">
        <f>P41/X41</f>
        <v/>
      </c>
      <c r="T41" s="306">
        <f>O41-H41</f>
        <v/>
      </c>
      <c r="U41" s="306" t="n"/>
      <c r="V41" s="306" t="n"/>
      <c r="W41" s="306" t="n"/>
      <c r="X41" s="306">
        <f>AVERAGE(U41:W41)</f>
        <v/>
      </c>
      <c r="Y41" s="306">
        <f>Z41/0.01</f>
        <v/>
      </c>
      <c r="Z41" s="306" t="n"/>
      <c r="AA41" s="135" t="n"/>
    </row>
    <row customFormat="1" customHeight="1" ht="20.25" r="42" s="22" spans="1:48">
      <c r="A42" s="231" t="n">
        <v>2015090842</v>
      </c>
      <c r="B42" s="232" t="s">
        <v>182</v>
      </c>
      <c r="C42" s="226" t="s">
        <v>183</v>
      </c>
      <c r="D42" s="227" t="s">
        <v>69</v>
      </c>
      <c r="E42" s="227" t="s">
        <v>184</v>
      </c>
      <c r="F42" s="227" t="s">
        <v>185</v>
      </c>
      <c r="G42" s="27" t="n">
        <v>39391</v>
      </c>
      <c r="H42" s="50" t="n">
        <v>49370.52</v>
      </c>
      <c r="I42" s="214" t="n">
        <v>0.10375</v>
      </c>
      <c r="J42" s="15" t="n">
        <v>461.76</v>
      </c>
      <c r="K42" s="15" t="n">
        <v>0</v>
      </c>
      <c r="L42" s="26" t="n">
        <v>265</v>
      </c>
      <c r="M42" s="27" t="n">
        <v>41883</v>
      </c>
      <c r="N42" s="25" t="n">
        <v>41913</v>
      </c>
      <c r="O42" s="288" t="n">
        <v>28000</v>
      </c>
      <c r="P42" s="20" t="n">
        <v>13300</v>
      </c>
      <c r="Q42" s="21" t="s">
        <v>24</v>
      </c>
      <c r="R42" s="67">
        <f>P42/O42</f>
        <v/>
      </c>
      <c r="S42" s="198">
        <f>P42/X42</f>
        <v/>
      </c>
      <c r="T42" s="306">
        <f>O42-H42</f>
        <v/>
      </c>
      <c r="U42" s="306" t="n"/>
      <c r="V42" s="306" t="n"/>
      <c r="W42" s="306" t="n"/>
      <c r="X42" s="306">
        <f>AVERAGE(U42:W42)</f>
        <v/>
      </c>
      <c r="Y42" s="306">
        <f>Z42/0.01</f>
        <v/>
      </c>
      <c r="Z42" s="306" t="n"/>
      <c r="AA42" s="134" t="n"/>
    </row>
    <row customFormat="1" customHeight="1" ht="20.25" r="43" s="22" spans="1:48">
      <c r="A43" s="231" t="n">
        <v>2015090821</v>
      </c>
      <c r="B43" s="236" t="s">
        <v>186</v>
      </c>
      <c r="C43" s="236" t="s">
        <v>187</v>
      </c>
      <c r="D43" s="237" t="s">
        <v>23</v>
      </c>
      <c r="E43" s="237" t="s">
        <v>188</v>
      </c>
      <c r="F43" s="237" t="s">
        <v>4</v>
      </c>
      <c r="G43" s="27" t="n">
        <v>39022</v>
      </c>
      <c r="H43" s="5" t="n">
        <v>78797.13</v>
      </c>
      <c r="I43" s="238" t="n">
        <v>0.0775</v>
      </c>
      <c r="J43" s="50" t="n">
        <v>585.46</v>
      </c>
      <c r="K43" s="50" t="n">
        <v>0</v>
      </c>
      <c r="L43" s="26" t="n">
        <v>264</v>
      </c>
      <c r="M43" s="27" t="n">
        <v>41796</v>
      </c>
      <c r="N43" s="291" t="n">
        <v>41826</v>
      </c>
      <c r="O43" s="292" t="n">
        <v>32000</v>
      </c>
      <c r="P43" s="301" t="n">
        <v>12800</v>
      </c>
      <c r="Q43" s="302" t="s">
        <v>24</v>
      </c>
      <c r="R43" s="67">
        <f>P43/O43</f>
        <v/>
      </c>
      <c r="S43" s="198">
        <f>P43/X43</f>
        <v/>
      </c>
      <c r="T43" s="306">
        <f>O43-H43</f>
        <v/>
      </c>
      <c r="U43" s="306" t="n"/>
      <c r="V43" s="306" t="n"/>
      <c r="W43" s="306" t="n"/>
      <c r="X43" s="306">
        <f>AVERAGE(U43:W43)</f>
        <v/>
      </c>
      <c r="Y43" s="306">
        <f>Z43/0.01</f>
        <v/>
      </c>
      <c r="Z43" s="306" t="n"/>
      <c r="AA43" s="134" t="n"/>
    </row>
    <row customFormat="1" customHeight="1" ht="20.25" r="44" s="22" spans="1:48">
      <c r="A44" s="239" t="s">
        <v>189</v>
      </c>
      <c r="B44" s="240" t="s">
        <v>6</v>
      </c>
      <c r="C44" s="241" t="s">
        <v>7</v>
      </c>
      <c r="D44" s="240" t="s">
        <v>8</v>
      </c>
      <c r="E44" s="240" t="s">
        <v>9</v>
      </c>
      <c r="F44" s="242" t="s">
        <v>10</v>
      </c>
      <c r="G44" s="243" t="s">
        <v>11</v>
      </c>
      <c r="H44" s="244" t="s">
        <v>12</v>
      </c>
      <c r="I44" s="242" t="s">
        <v>13</v>
      </c>
      <c r="J44" s="244" t="s">
        <v>14</v>
      </c>
      <c r="K44" s="244" t="s">
        <v>15</v>
      </c>
      <c r="L44" s="242" t="s">
        <v>190</v>
      </c>
      <c r="M44" s="294" t="s">
        <v>17</v>
      </c>
      <c r="N44" s="294" t="s">
        <v>18</v>
      </c>
      <c r="O44" s="244" t="s">
        <v>19</v>
      </c>
      <c r="P44" s="303" t="s">
        <v>20</v>
      </c>
      <c r="Q44" s="304" t="s">
        <v>44</v>
      </c>
      <c r="R44" s="67">
        <f>P44/O44</f>
        <v/>
      </c>
      <c r="S44" s="198">
        <f>P44/X44</f>
        <v/>
      </c>
      <c r="T44" s="306">
        <f>O44-H44</f>
        <v/>
      </c>
      <c r="U44" s="306" t="n"/>
      <c r="V44" s="306" t="n"/>
      <c r="W44" s="306" t="n"/>
      <c r="X44" s="306">
        <f>AVERAGE(U44:W44)</f>
        <v/>
      </c>
      <c r="Y44" s="306">
        <f>Z44/0.01</f>
        <v/>
      </c>
      <c r="Z44" s="306" t="n"/>
      <c r="AA44" s="134" t="n"/>
    </row>
    <row customFormat="1" customHeight="1" ht="20.25" r="45" s="22" spans="1:48">
      <c r="A45" s="221" t="n">
        <v>40263</v>
      </c>
      <c r="B45" s="219" t="s">
        <v>191</v>
      </c>
      <c r="C45" s="219" t="s">
        <v>27</v>
      </c>
      <c r="D45" s="220" t="s">
        <v>28</v>
      </c>
      <c r="E45" s="220" t="n">
        <v>43223</v>
      </c>
      <c r="F45" s="26" t="s">
        <v>4</v>
      </c>
      <c r="G45" s="25" t="n">
        <v>41688</v>
      </c>
      <c r="H45" s="295" t="n">
        <v>27333.1</v>
      </c>
      <c r="I45" s="222" t="n">
        <v>0.08</v>
      </c>
      <c r="J45" s="5" t="n">
        <v>244.25</v>
      </c>
      <c r="K45" s="5" t="n">
        <v>42.37</v>
      </c>
      <c r="L45" s="220" t="n">
        <v>219</v>
      </c>
      <c r="M45" s="25" t="n">
        <v>42346</v>
      </c>
      <c r="N45" s="25" t="n">
        <v>42370</v>
      </c>
      <c r="O45" s="295" t="n">
        <v>35400</v>
      </c>
      <c r="P45" s="28" t="n">
        <v>22550</v>
      </c>
      <c r="Q45" s="21" t="s">
        <v>24</v>
      </c>
      <c r="R45" s="67">
        <f>P45/O45</f>
        <v/>
      </c>
      <c r="S45" s="198">
        <f>P45/X45</f>
        <v/>
      </c>
      <c r="T45" s="306">
        <f>O45-H45</f>
        <v/>
      </c>
      <c r="U45" s="306" t="n"/>
      <c r="V45" s="306" t="n"/>
      <c r="W45" s="306" t="n"/>
      <c r="X45" s="306">
        <f>AVERAGE(U45:W45)</f>
        <v/>
      </c>
      <c r="Y45" s="306">
        <f>Z45/0.01</f>
        <v/>
      </c>
      <c r="Z45" s="306" t="n"/>
      <c r="AA45" s="141" t="n"/>
    </row>
    <row customFormat="1" customHeight="1" ht="20.25" r="46" s="22" spans="1:48">
      <c r="A46" s="221" t="n">
        <v>40601</v>
      </c>
      <c r="B46" s="219" t="s">
        <v>192</v>
      </c>
      <c r="C46" s="219" t="s">
        <v>56</v>
      </c>
      <c r="D46" s="220" t="s">
        <v>28</v>
      </c>
      <c r="E46" s="220" t="n">
        <v>45214</v>
      </c>
      <c r="F46" s="26" t="s">
        <v>4</v>
      </c>
      <c r="G46" s="25" t="n">
        <v>41688</v>
      </c>
      <c r="H46" s="295" t="n">
        <v>32908.42</v>
      </c>
      <c r="I46" s="222" t="n">
        <v>0.08</v>
      </c>
      <c r="J46" s="5" t="n">
        <v>285.44</v>
      </c>
      <c r="K46" s="5" t="n">
        <v>65.8</v>
      </c>
      <c r="L46" s="220" t="n">
        <v>222</v>
      </c>
      <c r="M46" s="25" t="n">
        <v>42374</v>
      </c>
      <c r="N46" s="25" t="n">
        <v>42309</v>
      </c>
      <c r="O46" s="295" t="n">
        <v>26500</v>
      </c>
      <c r="P46" s="28" t="n">
        <v>21860</v>
      </c>
      <c r="Q46" s="21" t="s">
        <v>24</v>
      </c>
      <c r="R46" s="67">
        <f>P46/O46</f>
        <v/>
      </c>
      <c r="S46" s="198">
        <f>P46/X46</f>
        <v/>
      </c>
      <c r="T46" s="306">
        <f>O46-H46</f>
        <v/>
      </c>
      <c r="U46" s="306" t="n"/>
      <c r="V46" s="306" t="n"/>
      <c r="W46" s="306" t="n"/>
      <c r="X46" s="306">
        <f>AVERAGE(U46:W46)</f>
        <v/>
      </c>
      <c r="Y46" s="306">
        <f>Z46/0.01</f>
        <v/>
      </c>
      <c r="Z46" s="306" t="n"/>
      <c r="AA46" s="134" t="n"/>
      <c r="AD46" s="23" t="n"/>
      <c r="AE46" s="23" t="n"/>
      <c r="AF46" s="23" t="n"/>
      <c r="AG46" s="23" t="n"/>
      <c r="AH46" s="23" t="n"/>
      <c r="AI46" s="23" t="n"/>
      <c r="AJ46" s="23" t="n"/>
      <c r="AK46" s="23" t="n"/>
      <c r="AL46" s="23" t="n"/>
      <c r="AM46" s="23" t="n"/>
      <c r="AN46" s="23" t="n"/>
      <c r="AO46" s="23" t="n"/>
      <c r="AP46" s="23" t="n"/>
      <c r="AQ46" s="23" t="n"/>
      <c r="AR46" s="23" t="n"/>
      <c r="AS46" s="23" t="n"/>
      <c r="AT46" s="23" t="n"/>
      <c r="AU46" s="23" t="n"/>
      <c r="AV46" s="23" t="n"/>
    </row>
    <row customFormat="1" customHeight="1" ht="20.25" r="47" s="22" spans="1:48">
      <c r="A47" s="221" t="n">
        <v>41698</v>
      </c>
      <c r="B47" s="219" t="s">
        <v>193</v>
      </c>
      <c r="C47" s="219" t="s">
        <v>56</v>
      </c>
      <c r="D47" s="220" t="s">
        <v>28</v>
      </c>
      <c r="E47" s="220" t="n">
        <v>45205</v>
      </c>
      <c r="F47" s="26" t="s">
        <v>4</v>
      </c>
      <c r="G47" s="25" t="n">
        <v>41782</v>
      </c>
      <c r="H47" s="295" t="n">
        <v>36763.38</v>
      </c>
      <c r="I47" s="222" t="n">
        <v>0.08</v>
      </c>
      <c r="J47" s="5" t="n">
        <v>317.85</v>
      </c>
      <c r="K47" s="5" t="n">
        <v>536.6799999999999</v>
      </c>
      <c r="L47" s="220" t="n">
        <v>223</v>
      </c>
      <c r="M47" s="25" t="n">
        <v>42359</v>
      </c>
      <c r="N47" s="25" t="n">
        <v>42370</v>
      </c>
      <c r="O47" s="295" t="n">
        <v>38000</v>
      </c>
      <c r="P47" s="28" t="n">
        <v>30330</v>
      </c>
      <c r="Q47" s="21" t="s">
        <v>24</v>
      </c>
      <c r="R47" s="67">
        <f>P47/O47</f>
        <v/>
      </c>
      <c r="S47" s="198">
        <f>P47/X47</f>
        <v/>
      </c>
      <c r="T47" s="306">
        <f>O47-H47</f>
        <v/>
      </c>
      <c r="U47" s="306" t="n"/>
      <c r="V47" s="306" t="n"/>
      <c r="W47" s="306" t="n"/>
      <c r="X47" s="306">
        <f>AVERAGE(U47:W47)</f>
        <v/>
      </c>
      <c r="Y47" s="306">
        <f>Z47/0.01</f>
        <v/>
      </c>
      <c r="Z47" s="306" t="n"/>
      <c r="AA47" s="134" t="n"/>
      <c r="AB47" s="23" t="n"/>
      <c r="AC47" s="23" t="n"/>
    </row>
    <row customFormat="1" customHeight="1" ht="20.25" r="48" s="22" spans="1:48">
      <c r="A48" s="212" t="n">
        <v>55169</v>
      </c>
      <c r="B48" s="216" t="s">
        <v>194</v>
      </c>
      <c r="C48" s="216" t="s">
        <v>195</v>
      </c>
      <c r="D48" s="245" t="s">
        <v>33</v>
      </c>
      <c r="E48" s="245" t="n">
        <v>32926</v>
      </c>
      <c r="F48" s="245" t="s">
        <v>196</v>
      </c>
      <c r="G48" s="246" t="n">
        <v>41729</v>
      </c>
      <c r="H48" s="247" t="n">
        <v>25452.86</v>
      </c>
      <c r="I48" s="248" t="n">
        <v>0.09</v>
      </c>
      <c r="J48" s="247" t="n">
        <v>300</v>
      </c>
      <c r="K48" s="247" t="n">
        <v>55</v>
      </c>
      <c r="L48" s="245" t="n">
        <v>146</v>
      </c>
      <c r="M48" s="246" t="n">
        <v>42375</v>
      </c>
      <c r="N48" s="246" t="n">
        <v>42401</v>
      </c>
      <c r="O48" s="295" t="n">
        <v>26000</v>
      </c>
      <c r="P48" s="20" t="n">
        <v>21000</v>
      </c>
      <c r="Q48" s="21" t="s">
        <v>24</v>
      </c>
      <c r="R48" s="67">
        <f>P48/O48</f>
        <v/>
      </c>
      <c r="S48" s="198">
        <f>P48/X48</f>
        <v/>
      </c>
      <c r="T48" s="306">
        <f>O48-H48</f>
        <v/>
      </c>
      <c r="U48" s="306" t="n"/>
      <c r="V48" s="306" t="n"/>
      <c r="W48" s="306" t="n"/>
      <c r="X48" s="306">
        <f>AVERAGE(U48:W48)</f>
        <v/>
      </c>
      <c r="Y48" s="306">
        <f>Z48/0.01</f>
        <v/>
      </c>
      <c r="Z48" s="306" t="n"/>
      <c r="AA48" s="134" t="n"/>
    </row>
    <row customFormat="1" customHeight="1" ht="20.25" r="49" s="22" spans="1:48">
      <c r="A49" s="257" t="n">
        <v>42073</v>
      </c>
      <c r="B49" s="263" t="s">
        <v>197</v>
      </c>
      <c r="C49" s="263" t="s">
        <v>56</v>
      </c>
      <c r="D49" s="254" t="s">
        <v>28</v>
      </c>
      <c r="E49" s="254" t="n">
        <v>45227</v>
      </c>
      <c r="F49" s="254" t="s">
        <v>4</v>
      </c>
      <c r="G49" s="25" t="n">
        <v>41892</v>
      </c>
      <c r="H49" s="295" t="n">
        <v>41049.91</v>
      </c>
      <c r="I49" s="222" t="n">
        <v>0.08</v>
      </c>
      <c r="J49" s="295" t="n">
        <v>366.99</v>
      </c>
      <c r="K49" s="295" t="n">
        <v>122.19</v>
      </c>
      <c r="L49" s="220" t="n">
        <v>207</v>
      </c>
      <c r="M49" s="25" t="n">
        <v>42332</v>
      </c>
      <c r="N49" s="25" t="n">
        <v>42339</v>
      </c>
      <c r="O49" s="295" t="n">
        <v>45000</v>
      </c>
      <c r="P49" s="28" t="n">
        <v>33865</v>
      </c>
      <c r="Q49" s="21" t="s">
        <v>24</v>
      </c>
      <c r="R49" s="67">
        <f>P49/O49</f>
        <v/>
      </c>
      <c r="S49" s="198">
        <f>P49/X49</f>
        <v/>
      </c>
      <c r="T49" s="306">
        <f>O49-H49</f>
        <v/>
      </c>
      <c r="U49" s="306" t="n"/>
      <c r="V49" s="306" t="n"/>
      <c r="W49" s="306" t="n"/>
      <c r="X49" s="306">
        <f>AVERAGE(U49:W49)</f>
        <v/>
      </c>
      <c r="Y49" s="306">
        <f>Z49/0.01</f>
        <v/>
      </c>
      <c r="Z49" s="306" t="n"/>
      <c r="AA49" s="134" t="n"/>
    </row>
    <row customFormat="1" customHeight="1" ht="20.25" r="50" s="22" spans="1:48">
      <c r="A50" s="257" t="n">
        <v>48175</v>
      </c>
      <c r="B50" s="263" t="s">
        <v>198</v>
      </c>
      <c r="C50" s="263" t="s">
        <v>199</v>
      </c>
      <c r="D50" s="254" t="s">
        <v>28</v>
      </c>
      <c r="E50" s="254" t="n">
        <v>44306</v>
      </c>
      <c r="F50" s="254" t="s">
        <v>4</v>
      </c>
      <c r="G50" s="25" t="n">
        <v>42016</v>
      </c>
      <c r="H50" s="295" t="n">
        <v>51523.57</v>
      </c>
      <c r="I50" s="222" t="n">
        <v>0.08</v>
      </c>
      <c r="J50" s="295" t="n">
        <v>437.04</v>
      </c>
      <c r="K50" s="295" t="n">
        <v>60.23</v>
      </c>
      <c r="L50" s="220" t="n">
        <v>232</v>
      </c>
      <c r="M50" s="25" t="n">
        <v>42366</v>
      </c>
      <c r="N50" s="25" t="n">
        <v>42339</v>
      </c>
      <c r="O50" s="295" t="n">
        <v>59000</v>
      </c>
      <c r="P50" s="28" t="n">
        <v>41290</v>
      </c>
      <c r="Q50" s="21" t="s">
        <v>24</v>
      </c>
      <c r="R50" s="67">
        <f>P50/O50</f>
        <v/>
      </c>
      <c r="S50" s="198">
        <f>P50/X50</f>
        <v/>
      </c>
      <c r="T50" s="306">
        <f>O50-H50</f>
        <v/>
      </c>
      <c r="U50" s="306" t="n"/>
      <c r="V50" s="306" t="n"/>
      <c r="W50" s="306" t="n"/>
      <c r="X50" s="306">
        <f>AVERAGE(U50:W50)</f>
        <v/>
      </c>
      <c r="Y50" s="306">
        <f>Z50/0.01</f>
        <v/>
      </c>
      <c r="Z50" s="306" t="n"/>
      <c r="AA50" s="141" t="n"/>
    </row>
    <row customFormat="1" customHeight="1" ht="20.25" r="51" s="22" spans="1:48">
      <c r="A51" s="257" t="n">
        <v>40572</v>
      </c>
      <c r="B51" s="263" t="s">
        <v>200</v>
      </c>
      <c r="C51" s="263" t="s">
        <v>56</v>
      </c>
      <c r="D51" s="254" t="s">
        <v>28</v>
      </c>
      <c r="E51" s="254" t="n">
        <v>45204</v>
      </c>
      <c r="F51" s="254" t="s">
        <v>4</v>
      </c>
      <c r="G51" s="25" t="n">
        <v>41865</v>
      </c>
      <c r="H51" s="295" t="n">
        <v>32299.23</v>
      </c>
      <c r="I51" s="222" t="n">
        <v>0.08</v>
      </c>
      <c r="J51" s="295" t="n">
        <v>278.12</v>
      </c>
      <c r="K51" s="295" t="n">
        <v>113.06</v>
      </c>
      <c r="L51" s="220" t="n">
        <v>227</v>
      </c>
      <c r="M51" s="25" t="n">
        <v>42374</v>
      </c>
      <c r="N51" s="25" t="n">
        <v>42401</v>
      </c>
      <c r="O51" s="295" t="n">
        <v>39000</v>
      </c>
      <c r="P51" s="28" t="n">
        <v>25195</v>
      </c>
      <c r="Q51" s="21" t="s">
        <v>24</v>
      </c>
      <c r="R51" s="67">
        <f>P51/O51</f>
        <v/>
      </c>
      <c r="S51" s="198">
        <f>P51/X51</f>
        <v/>
      </c>
      <c r="T51" s="306">
        <f>O51-H51</f>
        <v/>
      </c>
      <c r="U51" s="306" t="n"/>
      <c r="V51" s="306" t="n"/>
      <c r="W51" s="306" t="n"/>
      <c r="X51" s="306">
        <f>AVERAGE(U51:W51)</f>
        <v/>
      </c>
      <c r="Y51" s="306">
        <f>Z51/0.01</f>
        <v/>
      </c>
      <c r="Z51" s="306" t="n"/>
      <c r="AA51" s="141" t="n"/>
    </row>
    <row customFormat="1" customHeight="1" ht="20.25" r="52" s="22" spans="1:48">
      <c r="A52" s="231" t="n">
        <v>55191</v>
      </c>
      <c r="B52" s="258" t="s">
        <v>201</v>
      </c>
      <c r="C52" s="259" t="s">
        <v>202</v>
      </c>
      <c r="D52" s="260" t="s">
        <v>93</v>
      </c>
      <c r="E52" s="260" t="s">
        <v>203</v>
      </c>
      <c r="F52" s="26" t="s">
        <v>4</v>
      </c>
      <c r="G52" s="25" t="n">
        <v>41562</v>
      </c>
      <c r="H52" s="295" t="n">
        <v>23347.61</v>
      </c>
      <c r="I52" s="249" t="n">
        <v>0.09</v>
      </c>
      <c r="J52" s="295" t="n">
        <v>300</v>
      </c>
      <c r="K52" s="295" t="n">
        <v>210</v>
      </c>
      <c r="L52" s="220" t="n">
        <v>118</v>
      </c>
      <c r="M52" s="25" t="n">
        <v>42355</v>
      </c>
      <c r="N52" s="25" t="n">
        <v>42309</v>
      </c>
      <c r="O52" s="295" t="n">
        <v>33000</v>
      </c>
      <c r="P52" s="28" t="n">
        <v>15255</v>
      </c>
      <c r="Q52" s="21" t="s">
        <v>24</v>
      </c>
      <c r="R52" s="67">
        <f>P52/O52</f>
        <v/>
      </c>
      <c r="S52" s="198">
        <f>P52/X52</f>
        <v/>
      </c>
      <c r="T52" s="306">
        <f>O52-H52</f>
        <v/>
      </c>
      <c r="U52" s="306" t="n"/>
      <c r="V52" s="306" t="n"/>
      <c r="W52" s="306" t="n"/>
      <c r="X52" s="306">
        <f>AVERAGE(U52:W52)</f>
        <v/>
      </c>
      <c r="Y52" s="306">
        <f>Z52/0.01</f>
        <v/>
      </c>
      <c r="Z52" s="306" t="n"/>
      <c r="AA52" s="134" t="n"/>
    </row>
    <row customFormat="1" customHeight="1" ht="20.25" r="53" s="22" spans="1:48">
      <c r="A53" s="212" t="n">
        <v>9900019134</v>
      </c>
      <c r="B53" s="215" t="s">
        <v>204</v>
      </c>
      <c r="C53" s="216" t="s">
        <v>159</v>
      </c>
      <c r="D53" s="220" t="s">
        <v>2</v>
      </c>
      <c r="E53" s="220" t="n">
        <v>46403</v>
      </c>
      <c r="F53" s="220" t="s">
        <v>4</v>
      </c>
      <c r="G53" s="27" t="n">
        <v>39539</v>
      </c>
      <c r="H53" s="50" t="n">
        <v>20521.87</v>
      </c>
      <c r="I53" s="214" t="n">
        <v>0.11</v>
      </c>
      <c r="J53" s="15" t="n">
        <v>250</v>
      </c>
      <c r="K53" s="15" t="n">
        <v>0</v>
      </c>
      <c r="L53" s="26" t="n">
        <v>154</v>
      </c>
      <c r="M53" s="27" t="n">
        <v>42345</v>
      </c>
      <c r="N53" s="25" t="n">
        <v>42370</v>
      </c>
      <c r="O53" s="5" t="n">
        <v>22250</v>
      </c>
      <c r="P53" s="300" t="n">
        <v>16925</v>
      </c>
      <c r="Q53" s="21" t="s">
        <v>24</v>
      </c>
      <c r="R53" s="67">
        <f>P53/O53</f>
        <v/>
      </c>
      <c r="S53" s="198">
        <f>P53/X53</f>
        <v/>
      </c>
      <c r="T53" s="306">
        <f>O53-H53</f>
        <v/>
      </c>
      <c r="U53" s="306" t="n"/>
      <c r="V53" s="306" t="n"/>
      <c r="W53" s="306" t="n"/>
      <c r="X53" s="306">
        <f>AVERAGE(U53:W53)</f>
        <v/>
      </c>
      <c r="Y53" s="306">
        <f>Z53/0.01</f>
        <v/>
      </c>
      <c r="Z53" s="306" t="n"/>
      <c r="AA53" s="134" t="n"/>
    </row>
    <row customFormat="1" customHeight="1" ht="20.25" r="54" s="22" spans="1:48">
      <c r="A54" s="261" t="n">
        <v>2015100501</v>
      </c>
      <c r="B54" s="268" t="s">
        <v>205</v>
      </c>
      <c r="C54" s="263" t="s">
        <v>79</v>
      </c>
      <c r="D54" s="264" t="s">
        <v>38</v>
      </c>
      <c r="E54" s="264" t="s">
        <v>206</v>
      </c>
      <c r="F54" s="26" t="s">
        <v>4</v>
      </c>
      <c r="G54" s="25" t="n">
        <v>40483</v>
      </c>
      <c r="H54" s="295" t="n">
        <v>26635.05</v>
      </c>
      <c r="I54" s="222" t="n">
        <v>0.09</v>
      </c>
      <c r="J54" s="5" t="n">
        <v>466</v>
      </c>
      <c r="K54" s="5" t="n">
        <v>116</v>
      </c>
      <c r="L54" s="220" t="n">
        <v>75</v>
      </c>
      <c r="M54" s="25" t="n">
        <v>42368</v>
      </c>
      <c r="N54" s="25" t="n">
        <v>42309</v>
      </c>
      <c r="O54" s="295" t="n">
        <v>55000</v>
      </c>
      <c r="P54" s="28" t="n">
        <v>14650</v>
      </c>
      <c r="Q54" s="21" t="s">
        <v>24</v>
      </c>
      <c r="R54" s="67">
        <f>P54/O54</f>
        <v/>
      </c>
      <c r="S54" s="198">
        <f>P54/X54</f>
        <v/>
      </c>
      <c r="T54" s="306">
        <f>O54-H54</f>
        <v/>
      </c>
      <c r="U54" s="306" t="n"/>
      <c r="V54" s="306" t="n"/>
      <c r="W54" s="306" t="n"/>
      <c r="X54" s="306">
        <f>AVERAGE(U54:W54)</f>
        <v/>
      </c>
      <c r="Y54" s="306">
        <f>Z54/0.01</f>
        <v/>
      </c>
      <c r="Z54" s="306" t="n"/>
      <c r="AA54" s="323" t="n"/>
    </row>
    <row customHeight="1" ht="20.25" r="55" s="307" spans="1:48">
      <c r="A55" s="265" t="n">
        <v>2015100503</v>
      </c>
      <c r="B55" s="266" t="s">
        <v>207</v>
      </c>
      <c r="C55" s="255" t="s">
        <v>208</v>
      </c>
      <c r="D55" s="267" t="s">
        <v>2</v>
      </c>
      <c r="E55" s="267" t="s">
        <v>209</v>
      </c>
      <c r="F55" s="26" t="s">
        <v>4</v>
      </c>
      <c r="G55" s="25" t="n">
        <v>40487</v>
      </c>
      <c r="H55" s="295" t="n">
        <v>30183.3</v>
      </c>
      <c r="I55" s="222" t="n">
        <v>0.09</v>
      </c>
      <c r="J55" s="5" t="n">
        <v>530</v>
      </c>
      <c r="K55" s="5" t="n">
        <v>130</v>
      </c>
      <c r="L55" s="220" t="n">
        <v>75</v>
      </c>
      <c r="M55" s="25" t="n">
        <v>42324</v>
      </c>
      <c r="N55" s="25" t="n">
        <v>42339</v>
      </c>
      <c r="O55" s="295" t="n">
        <v>59000</v>
      </c>
      <c r="P55" s="28" t="n">
        <v>22635</v>
      </c>
      <c r="Q55" s="21" t="s">
        <v>24</v>
      </c>
      <c r="R55" s="67">
        <f>P55/O55</f>
        <v/>
      </c>
      <c r="S55" s="198">
        <f>P55/X55</f>
        <v/>
      </c>
      <c r="T55" s="306">
        <f>O55-H55</f>
        <v/>
      </c>
      <c r="U55" s="306" t="n"/>
      <c r="V55" s="306" t="n"/>
      <c r="W55" s="306" t="n"/>
      <c r="X55" s="306">
        <f>AVERAGE(U55:W55)</f>
        <v/>
      </c>
      <c r="Y55" s="306">
        <f>Z55/0.01</f>
        <v/>
      </c>
      <c r="Z55" s="306" t="n"/>
      <c r="AA55" s="327" t="n"/>
      <c r="AD55" s="22" t="n"/>
      <c r="AE55" s="22" t="n"/>
      <c r="AF55" s="22" t="n"/>
      <c r="AG55" s="22" t="n"/>
      <c r="AH55" s="22" t="n"/>
      <c r="AI55" s="22" t="n"/>
      <c r="AJ55" s="22" t="n"/>
      <c r="AK55" s="22" t="n"/>
      <c r="AL55" s="22" t="n"/>
      <c r="AM55" s="22" t="n"/>
      <c r="AN55" s="22" t="n"/>
      <c r="AO55" s="22" t="n"/>
      <c r="AP55" s="22" t="n"/>
      <c r="AQ55" s="22" t="n"/>
      <c r="AR55" s="22" t="n"/>
      <c r="AS55" s="22" t="n"/>
      <c r="AT55" s="22" t="n"/>
      <c r="AU55" s="22" t="n"/>
      <c r="AV55" s="22" t="n"/>
    </row>
    <row customHeight="1" ht="20.25" r="56" s="307" spans="1:48">
      <c r="A56" s="231" t="n">
        <v>2015090836</v>
      </c>
      <c r="B56" s="225" t="s">
        <v>210</v>
      </c>
      <c r="C56" s="226" t="s">
        <v>211</v>
      </c>
      <c r="D56" s="227" t="s">
        <v>74</v>
      </c>
      <c r="E56" s="227" t="n">
        <v>14613</v>
      </c>
      <c r="F56" s="26" t="s">
        <v>4</v>
      </c>
      <c r="G56" s="27" t="n">
        <v>38288</v>
      </c>
      <c r="H56" s="50" t="n">
        <v>32689.71</v>
      </c>
      <c r="I56" s="214" t="n">
        <v>0.08999</v>
      </c>
      <c r="J56" s="15" t="n">
        <v>300.72</v>
      </c>
      <c r="K56" s="15" t="n">
        <v>0</v>
      </c>
      <c r="L56" s="26" t="n">
        <v>229</v>
      </c>
      <c r="M56" s="27" t="n">
        <v>42352</v>
      </c>
      <c r="N56" s="25" t="n">
        <v>42401</v>
      </c>
      <c r="O56" s="295" t="n">
        <v>35000</v>
      </c>
      <c r="P56" s="20" t="n">
        <v>26150</v>
      </c>
      <c r="Q56" s="21" t="s">
        <v>24</v>
      </c>
      <c r="R56" s="67">
        <f>P56/O56</f>
        <v/>
      </c>
      <c r="S56" s="198">
        <f>P56/X56</f>
        <v/>
      </c>
      <c r="T56" s="306">
        <f>O56-H56</f>
        <v/>
      </c>
      <c r="U56" s="306" t="n"/>
      <c r="V56" s="306" t="n"/>
      <c r="W56" s="306" t="n"/>
      <c r="X56" s="306">
        <f>AVERAGE(U56:W56)</f>
        <v/>
      </c>
      <c r="Y56" s="306">
        <f>Z56/0.01</f>
        <v/>
      </c>
      <c r="Z56" s="306" t="n"/>
      <c r="AA56" s="322" t="n"/>
      <c r="AD56" s="22" t="n"/>
      <c r="AE56" s="22" t="n"/>
      <c r="AF56" s="22" t="n"/>
      <c r="AG56" s="22" t="n"/>
      <c r="AH56" s="22" t="n"/>
      <c r="AI56" s="22" t="n"/>
      <c r="AJ56" s="22" t="n"/>
      <c r="AK56" s="22" t="n"/>
      <c r="AL56" s="22" t="n"/>
      <c r="AM56" s="22" t="n"/>
      <c r="AN56" s="22" t="n"/>
      <c r="AO56" s="22" t="n"/>
      <c r="AP56" s="22" t="n"/>
      <c r="AQ56" s="22" t="n"/>
      <c r="AR56" s="22" t="n"/>
      <c r="AS56" s="22" t="n"/>
      <c r="AT56" s="22" t="n"/>
      <c r="AU56" s="22" t="n"/>
      <c r="AV56" s="22" t="n"/>
    </row>
    <row customHeight="1" ht="20.25" r="57" s="307" spans="1:48">
      <c r="A57" s="257" t="n">
        <v>39588</v>
      </c>
      <c r="B57" s="263" t="s">
        <v>212</v>
      </c>
      <c r="C57" s="263" t="s">
        <v>27</v>
      </c>
      <c r="D57" s="254" t="s">
        <v>28</v>
      </c>
      <c r="E57" s="254" t="n">
        <v>43223</v>
      </c>
      <c r="F57" s="26" t="s">
        <v>4</v>
      </c>
      <c r="G57" s="25" t="n">
        <v>41689</v>
      </c>
      <c r="H57" s="247" t="n">
        <v>36623.33</v>
      </c>
      <c r="I57" s="249" t="n">
        <v>0.08</v>
      </c>
      <c r="J57" s="250" t="n">
        <v>317.85</v>
      </c>
      <c r="K57" s="250" t="n">
        <v>179.6</v>
      </c>
      <c r="L57" s="245" t="n">
        <v>219</v>
      </c>
      <c r="M57" s="246" t="n">
        <v>42353</v>
      </c>
      <c r="N57" s="246" t="n">
        <v>42370</v>
      </c>
      <c r="O57" s="5" t="n">
        <v>67500</v>
      </c>
      <c r="P57" s="20" t="n">
        <v>30210</v>
      </c>
      <c r="Q57" s="21" t="s">
        <v>24</v>
      </c>
      <c r="R57" s="67">
        <f>P57/O57</f>
        <v/>
      </c>
      <c r="S57" s="198">
        <f>P57/X57</f>
        <v/>
      </c>
      <c r="T57" s="306">
        <f>O57-H57</f>
        <v/>
      </c>
      <c r="X57" s="306">
        <f>AVERAGE(U57:W57)</f>
        <v/>
      </c>
      <c r="Y57" s="306">
        <f>Z57/0.01</f>
        <v/>
      </c>
    </row>
    <row customHeight="1" ht="20.25" r="58" s="307" spans="1:48">
      <c r="A58" s="257" t="n">
        <v>40644</v>
      </c>
      <c r="B58" s="263" t="s">
        <v>213</v>
      </c>
      <c r="C58" s="263" t="s">
        <v>27</v>
      </c>
      <c r="D58" s="254" t="s">
        <v>28</v>
      </c>
      <c r="E58" s="254" t="n">
        <v>43204</v>
      </c>
      <c r="F58" s="26" t="s">
        <v>4</v>
      </c>
      <c r="G58" s="25" t="n">
        <v>41711</v>
      </c>
      <c r="H58" s="247" t="n">
        <v>28355.06</v>
      </c>
      <c r="I58" s="249" t="n">
        <v>0.08</v>
      </c>
      <c r="J58" s="247" t="n">
        <v>244.66</v>
      </c>
      <c r="K58" s="247" t="n">
        <v>140.11</v>
      </c>
      <c r="L58" s="245" t="n">
        <v>221</v>
      </c>
      <c r="M58" s="246" t="n">
        <v>42345</v>
      </c>
      <c r="N58" s="246" t="n">
        <v>42339</v>
      </c>
      <c r="O58" s="295" t="n">
        <v>33000</v>
      </c>
      <c r="P58" s="20" t="n">
        <v>22685</v>
      </c>
      <c r="Q58" s="21" t="s">
        <v>24</v>
      </c>
      <c r="R58" s="67">
        <f>P58/O58</f>
        <v/>
      </c>
      <c r="S58" s="198">
        <f>P58/X58</f>
        <v/>
      </c>
      <c r="T58" s="306">
        <f>O58-H58</f>
        <v/>
      </c>
      <c r="X58" s="306">
        <f>AVERAGE(U58:W58)</f>
        <v/>
      </c>
      <c r="Y58" s="306">
        <f>Z58/0.01</f>
        <v/>
      </c>
    </row>
    <row customHeight="1" ht="20.25" r="59" s="307" spans="1:48">
      <c r="A59" s="257" t="n">
        <v>41329</v>
      </c>
      <c r="B59" s="263" t="s">
        <v>214</v>
      </c>
      <c r="C59" s="263" t="s">
        <v>27</v>
      </c>
      <c r="D59" s="254" t="s">
        <v>28</v>
      </c>
      <c r="E59" s="254" t="n">
        <v>43206</v>
      </c>
      <c r="F59" s="26" t="s">
        <v>4</v>
      </c>
      <c r="G59" s="25" t="n">
        <v>41688</v>
      </c>
      <c r="H59" s="247" t="n">
        <v>56208.64</v>
      </c>
      <c r="I59" s="249" t="n">
        <v>0.08</v>
      </c>
      <c r="J59" s="247" t="n">
        <v>489.32</v>
      </c>
      <c r="K59" s="247" t="n">
        <v>103.57</v>
      </c>
      <c r="L59" s="245" t="n">
        <v>219</v>
      </c>
      <c r="M59" s="246" t="n">
        <v>42356</v>
      </c>
      <c r="N59" s="246" t="n">
        <v>42370</v>
      </c>
      <c r="O59" s="295" t="n">
        <v>65000</v>
      </c>
      <c r="P59" s="20" t="n">
        <v>46365</v>
      </c>
      <c r="Q59" s="21" t="s">
        <v>24</v>
      </c>
      <c r="R59" s="67">
        <f>P59/O59</f>
        <v/>
      </c>
      <c r="S59" s="198">
        <f>P59/X59</f>
        <v/>
      </c>
      <c r="T59" s="306">
        <f>O59-H59</f>
        <v/>
      </c>
      <c r="X59" s="306">
        <f>AVERAGE(U59:W59)</f>
        <v/>
      </c>
      <c r="Y59" s="306">
        <f>Z59/0.01</f>
        <v/>
      </c>
    </row>
    <row customHeight="1" ht="20.25" r="60" s="307" spans="1:48">
      <c r="A60" s="257" t="n">
        <v>41693</v>
      </c>
      <c r="B60" s="263" t="s">
        <v>215</v>
      </c>
      <c r="C60" s="263" t="s">
        <v>27</v>
      </c>
      <c r="D60" s="254" t="s">
        <v>28</v>
      </c>
      <c r="E60" s="254" t="n">
        <v>43204</v>
      </c>
      <c r="F60" s="26" t="s">
        <v>4</v>
      </c>
      <c r="G60" s="25" t="s">
        <v>216</v>
      </c>
      <c r="H60" s="247" t="n">
        <v>33465.97</v>
      </c>
      <c r="I60" s="222" t="n">
        <v>0.08</v>
      </c>
      <c r="J60" s="295" t="n">
        <v>285.44</v>
      </c>
      <c r="K60" s="295" t="n">
        <v>141.53</v>
      </c>
      <c r="L60" s="220" t="n">
        <v>222</v>
      </c>
      <c r="M60" s="25" t="n">
        <v>42369</v>
      </c>
      <c r="N60" s="25" t="n">
        <v>42370</v>
      </c>
      <c r="O60" s="295" t="n">
        <v>40000</v>
      </c>
      <c r="P60" s="28" t="n">
        <v>27600</v>
      </c>
      <c r="Q60" s="21" t="s">
        <v>24</v>
      </c>
      <c r="R60" s="67">
        <f>P60/O60</f>
        <v/>
      </c>
      <c r="S60" s="198">
        <f>P60/X60</f>
        <v/>
      </c>
      <c r="T60" s="306">
        <f>O60-H60</f>
        <v/>
      </c>
      <c r="X60" s="306">
        <f>AVERAGE(U60:W60)</f>
        <v/>
      </c>
      <c r="Y60" s="306">
        <f>Z60/0.01</f>
        <v/>
      </c>
    </row>
    <row customHeight="1" ht="20.25" r="61" s="307" spans="1:48">
      <c r="A61" s="257" t="n">
        <v>42933</v>
      </c>
      <c r="B61" s="263" t="s">
        <v>217</v>
      </c>
      <c r="C61" s="263" t="s">
        <v>218</v>
      </c>
      <c r="D61" s="254" t="s">
        <v>28</v>
      </c>
      <c r="E61" s="254" t="n">
        <v>44128</v>
      </c>
      <c r="F61" s="26" t="s">
        <v>4</v>
      </c>
      <c r="G61" s="25" t="s">
        <v>219</v>
      </c>
      <c r="H61" s="247" t="n">
        <v>67178.92999999999</v>
      </c>
      <c r="I61" s="222" t="n">
        <v>0.08</v>
      </c>
      <c r="J61" s="295" t="n">
        <v>570.87</v>
      </c>
      <c r="K61" s="295" t="n">
        <v>161.85</v>
      </c>
      <c r="L61" s="220" t="n">
        <v>231</v>
      </c>
      <c r="M61" s="25" t="n">
        <v>42321</v>
      </c>
      <c r="N61" s="25" t="n">
        <v>42217</v>
      </c>
      <c r="O61" s="295" t="n">
        <v>70000</v>
      </c>
      <c r="P61" s="28" t="n">
        <v>36950</v>
      </c>
      <c r="Q61" s="21" t="s">
        <v>24</v>
      </c>
      <c r="R61" s="67">
        <f>P61/O61</f>
        <v/>
      </c>
      <c r="S61" s="198">
        <f>P61/X61</f>
        <v/>
      </c>
      <c r="T61" s="306">
        <f>O61-H61</f>
        <v/>
      </c>
      <c r="X61" s="306">
        <f>AVERAGE(U61:W61)</f>
        <v/>
      </c>
      <c r="Y61" s="306">
        <f>Z61/0.01</f>
        <v/>
      </c>
    </row>
    <row customHeight="1" ht="20.25" r="62" s="307" spans="1:48">
      <c r="A62" s="257" t="n">
        <v>42954</v>
      </c>
      <c r="B62" s="263" t="s">
        <v>220</v>
      </c>
      <c r="C62" s="263" t="s">
        <v>56</v>
      </c>
      <c r="D62" s="254" t="s">
        <v>28</v>
      </c>
      <c r="E62" s="254" t="n">
        <v>45231</v>
      </c>
      <c r="F62" s="26" t="s">
        <v>4</v>
      </c>
      <c r="G62" s="25" t="n">
        <v>41885</v>
      </c>
      <c r="H62" s="247" t="n">
        <v>36711.82</v>
      </c>
      <c r="I62" s="222" t="n">
        <v>0.08</v>
      </c>
      <c r="J62" s="295" t="n">
        <v>317.85</v>
      </c>
      <c r="K62" s="295" t="n">
        <v>135.95</v>
      </c>
      <c r="L62" s="220" t="n">
        <v>225</v>
      </c>
      <c r="M62" s="25" t="n">
        <v>42368</v>
      </c>
      <c r="N62" s="25" t="n">
        <v>42401</v>
      </c>
      <c r="O62" s="295" t="n">
        <v>63000</v>
      </c>
      <c r="P62" s="28" t="n">
        <v>30285</v>
      </c>
      <c r="Q62" s="21" t="s">
        <v>24</v>
      </c>
      <c r="R62" s="67">
        <f>P62/O62</f>
        <v/>
      </c>
      <c r="S62" s="198">
        <f>P62/X62</f>
        <v/>
      </c>
      <c r="T62" s="306">
        <f>O62-H62</f>
        <v/>
      </c>
      <c r="X62" s="308" t="n"/>
      <c r="Y62" s="308" t="n"/>
    </row>
    <row customHeight="1" ht="20.25" r="63" s="307" spans="1:48">
      <c r="A63" s="257" t="n">
        <v>43048</v>
      </c>
      <c r="B63" s="263" t="s">
        <v>221</v>
      </c>
      <c r="C63" s="263" t="s">
        <v>218</v>
      </c>
      <c r="D63" s="254" t="s">
        <v>28</v>
      </c>
      <c r="E63" s="254" t="n">
        <v>44120</v>
      </c>
      <c r="F63" s="26" t="s">
        <v>4</v>
      </c>
      <c r="G63" s="25" t="n">
        <v>41894</v>
      </c>
      <c r="H63" s="247" t="n">
        <v>37959.15</v>
      </c>
      <c r="I63" s="222" t="n">
        <v>0.08</v>
      </c>
      <c r="J63" s="295" t="n">
        <v>326.21</v>
      </c>
      <c r="K63" s="295" t="n">
        <v>120.99</v>
      </c>
      <c r="L63" s="220" t="n">
        <v>225</v>
      </c>
      <c r="M63" s="25" t="s">
        <v>222</v>
      </c>
      <c r="N63" s="25" t="n">
        <v>42370</v>
      </c>
      <c r="O63" s="295" t="n">
        <v>60000</v>
      </c>
      <c r="P63" s="28" t="n">
        <v>31315</v>
      </c>
      <c r="Q63" s="21" t="s">
        <v>24</v>
      </c>
      <c r="R63" s="67">
        <f>P63/O63</f>
        <v/>
      </c>
      <c r="S63" s="198">
        <f>P63/X63</f>
        <v/>
      </c>
      <c r="T63" s="306">
        <f>O63-H63</f>
        <v/>
      </c>
      <c r="X63" s="308" t="n"/>
      <c r="Y63" s="308" t="n"/>
    </row>
    <row customHeight="1" ht="20.25" r="64" s="307" spans="1:48">
      <c r="A64" s="257" t="n">
        <v>48043</v>
      </c>
      <c r="B64" s="263" t="s">
        <v>223</v>
      </c>
      <c r="C64" s="263" t="s">
        <v>218</v>
      </c>
      <c r="D64" s="254" t="s">
        <v>28</v>
      </c>
      <c r="E64" s="254" t="n">
        <v>44120</v>
      </c>
      <c r="F64" s="26" t="s">
        <v>4</v>
      </c>
      <c r="G64" s="25" t="n">
        <v>41919</v>
      </c>
      <c r="H64" s="247" t="n">
        <v>38315.77</v>
      </c>
      <c r="I64" s="222" t="n">
        <v>0.08</v>
      </c>
      <c r="J64" s="295" t="n">
        <v>326.21</v>
      </c>
      <c r="K64" s="295" t="n">
        <v>117</v>
      </c>
      <c r="L64" s="220" t="n">
        <v>229</v>
      </c>
      <c r="M64" s="25" t="n">
        <v>42348</v>
      </c>
      <c r="N64" s="25" t="n">
        <v>42309</v>
      </c>
      <c r="O64" s="295" t="n">
        <v>24000</v>
      </c>
      <c r="P64" s="28" t="n">
        <v>18720</v>
      </c>
      <c r="Q64" s="21" t="s">
        <v>24</v>
      </c>
      <c r="R64" s="67">
        <f>P64/O64</f>
        <v/>
      </c>
      <c r="S64" s="198">
        <f>P64/X64</f>
        <v/>
      </c>
      <c r="T64" s="306">
        <f>O64-H64</f>
        <v/>
      </c>
      <c r="X64" s="308" t="n"/>
      <c r="Y64" s="308" t="n"/>
    </row>
    <row customHeight="1" ht="20.25" r="65" s="307" spans="1:48">
      <c r="A65" s="257" t="n">
        <v>42950</v>
      </c>
      <c r="B65" s="268" t="s">
        <v>224</v>
      </c>
      <c r="C65" s="263" t="s">
        <v>218</v>
      </c>
      <c r="D65" s="254" t="s">
        <v>28</v>
      </c>
      <c r="E65" s="254" t="n">
        <v>44102</v>
      </c>
      <c r="F65" s="254" t="s">
        <v>4</v>
      </c>
      <c r="G65" s="25" t="n">
        <v>41856</v>
      </c>
      <c r="H65" s="247" t="n">
        <v>38022.18</v>
      </c>
      <c r="I65" s="249" t="n">
        <v>0.08</v>
      </c>
      <c r="J65" s="295" t="n">
        <v>326.21</v>
      </c>
      <c r="K65" s="295" t="n">
        <v>119.33</v>
      </c>
      <c r="L65" s="220" t="n">
        <v>224</v>
      </c>
      <c r="M65" s="25" t="s">
        <v>225</v>
      </c>
      <c r="N65" s="25" t="n">
        <v>42370</v>
      </c>
      <c r="O65" s="295" t="n">
        <v>24000</v>
      </c>
      <c r="P65" s="28" t="n">
        <v>19800</v>
      </c>
      <c r="Q65" s="21" t="s">
        <v>24</v>
      </c>
      <c r="R65" s="67">
        <f>P65/O65</f>
        <v/>
      </c>
      <c r="S65" s="198">
        <f>P65/X65</f>
        <v/>
      </c>
      <c r="T65" s="306">
        <f>O65-H65</f>
        <v/>
      </c>
      <c r="X65" s="308" t="n"/>
      <c r="Y65" s="308" t="n"/>
    </row>
    <row customHeight="1" ht="20.25" r="66" s="307" spans="1:48">
      <c r="A66" s="231" t="n">
        <v>56013</v>
      </c>
      <c r="B66" s="269" t="s">
        <v>226</v>
      </c>
      <c r="C66" s="269" t="s">
        <v>227</v>
      </c>
      <c r="D66" s="270" t="s">
        <v>228</v>
      </c>
      <c r="E66" s="270" t="n">
        <v>36553</v>
      </c>
      <c r="F66" s="254" t="s">
        <v>4</v>
      </c>
      <c r="G66" s="25" t="n">
        <v>37189</v>
      </c>
      <c r="H66" s="247" t="n">
        <v>145920.01</v>
      </c>
      <c r="I66" s="249" t="n">
        <v>0.0388</v>
      </c>
      <c r="J66" s="295" t="n">
        <v>600.67</v>
      </c>
      <c r="K66" s="295" t="n">
        <v>22.37</v>
      </c>
      <c r="L66" s="220" t="n">
        <v>476</v>
      </c>
      <c r="M66" s="25" t="n">
        <v>42345</v>
      </c>
      <c r="N66" s="25" t="n">
        <v>42370</v>
      </c>
      <c r="O66" s="295" t="n">
        <v>94500</v>
      </c>
      <c r="P66" s="28" t="n">
        <v>62015</v>
      </c>
      <c r="Q66" s="21" t="s">
        <v>24</v>
      </c>
      <c r="R66" s="67">
        <f>P66/O66</f>
        <v/>
      </c>
      <c r="S66" s="198">
        <f>P66/X66</f>
        <v/>
      </c>
      <c r="T66" s="306">
        <f>O66-H66</f>
        <v/>
      </c>
      <c r="X66" s="308" t="n"/>
      <c r="Y66" s="308" t="n"/>
    </row>
    <row customHeight="1" ht="20.25" r="67" s="307" spans="1:48">
      <c r="A67" s="231" t="n">
        <v>48469</v>
      </c>
      <c r="B67" s="271" t="s">
        <v>229</v>
      </c>
      <c r="C67" s="272" t="s">
        <v>230</v>
      </c>
      <c r="D67" s="273" t="s">
        <v>65</v>
      </c>
      <c r="E67" s="273" t="s">
        <v>231</v>
      </c>
      <c r="F67" s="254" t="s">
        <v>4</v>
      </c>
      <c r="G67" s="25" t="n">
        <v>39955</v>
      </c>
      <c r="H67" s="247" t="n">
        <v>15901.72</v>
      </c>
      <c r="I67" s="249" t="n">
        <v>0.0725</v>
      </c>
      <c r="J67" s="295" t="n">
        <v>249.9</v>
      </c>
      <c r="K67" s="295" t="n">
        <v>89.97</v>
      </c>
      <c r="L67" s="220" t="n">
        <v>79</v>
      </c>
      <c r="M67" s="25" t="n">
        <v>42348</v>
      </c>
      <c r="N67" s="25" t="n">
        <v>42339</v>
      </c>
      <c r="O67" s="295" t="n">
        <v>16000</v>
      </c>
      <c r="P67" s="28" t="n">
        <v>11925</v>
      </c>
      <c r="Q67" s="21" t="s">
        <v>24</v>
      </c>
      <c r="R67" s="67">
        <f>P67/O67</f>
        <v/>
      </c>
      <c r="S67" s="198">
        <f>P67/X67</f>
        <v/>
      </c>
      <c r="T67" s="306">
        <f>O67-H67</f>
        <v/>
      </c>
      <c r="X67" s="308" t="n"/>
      <c r="Y67" s="308" t="n"/>
    </row>
    <row customHeight="1" ht="20.25" r="68" s="307" spans="1:48">
      <c r="A68" s="274" t="n">
        <v>55234</v>
      </c>
      <c r="B68" s="275" t="s">
        <v>232</v>
      </c>
      <c r="C68" s="275" t="s">
        <v>233</v>
      </c>
      <c r="D68" s="276" t="s">
        <v>141</v>
      </c>
      <c r="E68" s="276" t="s">
        <v>234</v>
      </c>
      <c r="F68" s="277" t="s">
        <v>4</v>
      </c>
      <c r="G68" s="108" t="n">
        <v>36647</v>
      </c>
      <c r="H68" s="278" t="n">
        <v>43099.04</v>
      </c>
      <c r="I68" s="279" t="n">
        <v>0.06</v>
      </c>
      <c r="J68" s="280" t="n">
        <v>381.05</v>
      </c>
      <c r="K68" s="280" t="n">
        <v>309.65</v>
      </c>
      <c r="L68" s="296" t="n">
        <v>168</v>
      </c>
      <c r="M68" s="108" t="n">
        <v>42345</v>
      </c>
      <c r="N68" s="108" t="s">
        <v>235</v>
      </c>
      <c r="O68" s="280" t="n">
        <v>92500</v>
      </c>
      <c r="P68" s="305" t="n">
        <v>29365</v>
      </c>
      <c r="Q68" s="46" t="s">
        <v>24</v>
      </c>
      <c r="R68" s="67">
        <f>P68/O68</f>
        <v/>
      </c>
      <c r="S68" s="198">
        <f>P68/X68</f>
        <v/>
      </c>
      <c r="T68" s="306">
        <f>O68-H68</f>
        <v/>
      </c>
      <c r="X68" s="308" t="n"/>
      <c r="Y68" s="308" t="n"/>
    </row>
    <row customHeight="1" ht="20.25" r="69" s="307" spans="1:48">
      <c r="A69" s="281" t="s">
        <v>236</v>
      </c>
      <c r="B69" s="208" t="s">
        <v>6</v>
      </c>
      <c r="C69" s="282" t="s">
        <v>7</v>
      </c>
      <c r="D69" s="208" t="s">
        <v>8</v>
      </c>
      <c r="E69" s="208" t="s">
        <v>9</v>
      </c>
      <c r="F69" s="209" t="s">
        <v>10</v>
      </c>
      <c r="G69" s="211" t="s">
        <v>19</v>
      </c>
      <c r="H69" s="211" t="s">
        <v>237</v>
      </c>
      <c r="I69" s="283" t="s">
        <v>238</v>
      </c>
      <c r="J69" s="283" t="s">
        <v>239</v>
      </c>
      <c r="K69" s="283" t="s">
        <v>240</v>
      </c>
      <c r="L69" s="297" t="s">
        <v>44</v>
      </c>
      <c r="M69" s="308" t="n"/>
      <c r="N69" s="308" t="n"/>
      <c r="X69" s="308" t="n"/>
      <c r="Y69" s="308" t="n"/>
    </row>
    <row customHeight="1" ht="20.25" r="70" s="307" spans="1:48">
      <c r="A70" s="231" t="n">
        <v>39793</v>
      </c>
      <c r="B70" s="284" t="s">
        <v>241</v>
      </c>
      <c r="C70" s="284" t="s">
        <v>242</v>
      </c>
      <c r="D70" s="26" t="s">
        <v>228</v>
      </c>
      <c r="E70" s="26" t="n">
        <v>35224</v>
      </c>
      <c r="F70" s="26" t="s">
        <v>4</v>
      </c>
      <c r="G70" s="50" t="n">
        <v>19000</v>
      </c>
      <c r="H70" s="26" t="s">
        <v>243</v>
      </c>
      <c r="I70" s="295" t="n">
        <v>10830</v>
      </c>
      <c r="J70" s="295" t="n">
        <v>11400</v>
      </c>
      <c r="K70" s="295" t="n">
        <v>11970</v>
      </c>
      <c r="L70" s="21" t="s">
        <v>24</v>
      </c>
      <c r="M70" s="308" t="n"/>
      <c r="N70" s="308" t="n"/>
      <c r="X70" s="308" t="n"/>
      <c r="Y70" s="308" t="n"/>
    </row>
    <row customHeight="1" ht="20.25" r="71" s="307" spans="1:48">
      <c r="A71" s="231" t="n">
        <v>39848</v>
      </c>
      <c r="B71" s="284" t="s">
        <v>244</v>
      </c>
      <c r="C71" s="284" t="s">
        <v>245</v>
      </c>
      <c r="D71" s="26" t="s">
        <v>246</v>
      </c>
      <c r="E71" s="26" t="n">
        <v>41101</v>
      </c>
      <c r="F71" s="26" t="s">
        <v>4</v>
      </c>
      <c r="G71" s="50" t="n">
        <v>35000</v>
      </c>
      <c r="H71" s="26" t="s">
        <v>247</v>
      </c>
      <c r="I71" s="295" t="n">
        <v>19950</v>
      </c>
      <c r="J71" s="295" t="n">
        <v>21000</v>
      </c>
      <c r="K71" s="295" t="n">
        <v>22050</v>
      </c>
      <c r="L71" s="21" t="s">
        <v>24</v>
      </c>
      <c r="M71" s="308" t="n"/>
      <c r="N71" s="308" t="n"/>
      <c r="X71" s="308" t="n"/>
      <c r="Y71" s="308" t="n"/>
    </row>
    <row customHeight="1" ht="20.25" r="72" s="307" spans="1:48">
      <c r="A72" s="231" t="n">
        <v>39792</v>
      </c>
      <c r="B72" s="284" t="s">
        <v>248</v>
      </c>
      <c r="C72" s="284" t="s">
        <v>242</v>
      </c>
      <c r="D72" s="26" t="s">
        <v>228</v>
      </c>
      <c r="E72" s="26" t="n">
        <v>35218</v>
      </c>
      <c r="F72" s="26" t="s">
        <v>4</v>
      </c>
      <c r="G72" s="295" t="n">
        <v>15000</v>
      </c>
      <c r="H72" s="26" t="s">
        <v>249</v>
      </c>
      <c r="I72" s="295" t="n">
        <v>7124.999999999999</v>
      </c>
      <c r="J72" s="295" t="n">
        <v>7500</v>
      </c>
      <c r="K72" s="295" t="n">
        <v>7875</v>
      </c>
      <c r="L72" s="21" t="s">
        <v>24</v>
      </c>
      <c r="M72" s="308" t="n"/>
      <c r="N72" s="308" t="n"/>
      <c r="X72" s="308" t="n"/>
      <c r="Y72" s="308" t="n"/>
    </row>
    <row customHeight="1" ht="20.25" r="73" s="307" spans="1:48">
      <c r="A73" s="231" t="n">
        <v>39909</v>
      </c>
      <c r="B73" s="284" t="s">
        <v>250</v>
      </c>
      <c r="C73" s="284" t="s">
        <v>251</v>
      </c>
      <c r="D73" s="26" t="s">
        <v>28</v>
      </c>
      <c r="E73" s="26" t="n">
        <v>43613</v>
      </c>
      <c r="F73" s="26" t="s">
        <v>4</v>
      </c>
      <c r="G73" s="50" t="n">
        <v>12700</v>
      </c>
      <c r="H73" s="26" t="s">
        <v>252</v>
      </c>
      <c r="I73" s="295" t="n">
        <v>7240</v>
      </c>
      <c r="J73" s="295" t="n">
        <v>7625</v>
      </c>
      <c r="K73" s="295" t="n">
        <v>8000</v>
      </c>
      <c r="L73" s="21" t="s">
        <v>24</v>
      </c>
      <c r="M73" s="308" t="n"/>
      <c r="N73" s="308" t="n"/>
      <c r="X73" s="308" t="n"/>
      <c r="Y73" s="308" t="n"/>
    </row>
    <row customHeight="1" ht="20.25" r="74" s="307" spans="1:48">
      <c r="A74" s="231" t="n">
        <v>39894</v>
      </c>
      <c r="B74" s="284" t="s">
        <v>253</v>
      </c>
      <c r="C74" s="284" t="s">
        <v>254</v>
      </c>
      <c r="D74" s="26" t="s">
        <v>246</v>
      </c>
      <c r="E74" s="26" t="n">
        <v>40211</v>
      </c>
      <c r="F74" s="26" t="s">
        <v>4</v>
      </c>
      <c r="G74" s="50" t="n">
        <v>34000</v>
      </c>
      <c r="H74" s="285" t="s">
        <v>255</v>
      </c>
      <c r="I74" s="295" t="n">
        <v>19380</v>
      </c>
      <c r="J74" s="295" t="n">
        <v>20400</v>
      </c>
      <c r="K74" s="295" t="n">
        <v>21420</v>
      </c>
      <c r="L74" s="21" t="s">
        <v>24</v>
      </c>
      <c r="M74" s="308" t="n"/>
      <c r="N74" s="308" t="n"/>
      <c r="X74" s="308" t="n"/>
      <c r="Y74" s="308" t="n"/>
    </row>
    <row customHeight="1" ht="20.25" r="75" s="307" spans="1:48">
      <c r="A75" s="231" t="n">
        <v>39787</v>
      </c>
      <c r="B75" s="284" t="s">
        <v>256</v>
      </c>
      <c r="C75" s="284" t="s">
        <v>242</v>
      </c>
      <c r="D75" s="26" t="s">
        <v>228</v>
      </c>
      <c r="E75" s="26" t="n">
        <v>35224</v>
      </c>
      <c r="F75" s="26" t="s">
        <v>4</v>
      </c>
      <c r="G75" s="50" t="n">
        <v>31500</v>
      </c>
      <c r="H75" s="26" t="s">
        <v>257</v>
      </c>
      <c r="I75" s="295" t="n">
        <v>17955</v>
      </c>
      <c r="J75" s="295" t="n">
        <v>18900</v>
      </c>
      <c r="K75" s="295" t="n">
        <v>19845</v>
      </c>
      <c r="L75" s="21" t="s">
        <v>24</v>
      </c>
      <c r="M75" s="308" t="n"/>
      <c r="N75" s="308" t="n"/>
      <c r="X75" s="308" t="n"/>
      <c r="Y75" s="308" t="n"/>
    </row>
    <row customHeight="1" ht="20.25" r="76" s="307" spans="1:48">
      <c r="A76" s="286" t="n">
        <v>39846</v>
      </c>
      <c r="B76" s="287" t="s">
        <v>258</v>
      </c>
      <c r="C76" s="287" t="s">
        <v>259</v>
      </c>
      <c r="D76" s="88" t="s">
        <v>141</v>
      </c>
      <c r="E76" s="88" t="n">
        <v>62618</v>
      </c>
      <c r="F76" s="88" t="s">
        <v>4</v>
      </c>
      <c r="G76" s="95" t="n">
        <v>18500</v>
      </c>
      <c r="H76" s="88" t="s">
        <v>260</v>
      </c>
      <c r="I76" s="280" t="n">
        <v>10545</v>
      </c>
      <c r="J76" s="280" t="n">
        <v>11100</v>
      </c>
      <c r="K76" s="280" t="n">
        <v>11655</v>
      </c>
      <c r="L76" s="46" t="s">
        <v>24</v>
      </c>
      <c r="M76" s="308" t="n"/>
      <c r="N76" s="308" t="n"/>
      <c r="X76" s="308" t="n"/>
      <c r="Y76" s="308" t="n"/>
    </row>
    <row customHeight="1" ht="20.25" r="77" s="307" spans="1:48">
      <c r="X77" s="308" t="n"/>
      <c r="Y77" s="308" t="n"/>
    </row>
    <row customHeight="1" ht="20.25" r="78" s="307" spans="1:48">
      <c r="X78" s="308" t="n"/>
      <c r="Y78" s="308" t="n"/>
    </row>
    <row customHeight="1" ht="20.25" r="79" s="307" spans="1:48">
      <c r="X79" s="308" t="n"/>
      <c r="Y79" s="308" t="n"/>
    </row>
    <row customHeight="1" ht="20.25" r="80" s="307" spans="1:48">
      <c r="X80" s="308" t="n"/>
      <c r="Y80" s="308" t="n"/>
    </row>
    <row customHeight="1" ht="20.25" r="81" s="307" spans="1:48">
      <c r="X81" s="308" t="n"/>
      <c r="Y81" s="308" t="n"/>
    </row>
    <row customHeight="1" ht="20.25" r="82" s="307" spans="1:48">
      <c r="X82" s="308" t="n"/>
      <c r="Y82" s="308" t="n"/>
    </row>
    <row customHeight="1" ht="20.25" r="83" s="307" spans="1:48">
      <c r="X83" s="308" t="n"/>
      <c r="Y83" s="308" t="n"/>
    </row>
    <row customHeight="1" ht="20.25" r="84" s="307" spans="1:48">
      <c r="X84" s="308" t="n"/>
      <c r="Y84" s="308" t="n"/>
    </row>
    <row customHeight="1" ht="20.25" r="85" s="307" spans="1:48">
      <c r="X85" s="308" t="n"/>
      <c r="Y85" s="308" t="n"/>
    </row>
    <row customHeight="1" ht="20.25" r="86" s="307" spans="1:48">
      <c r="X86" s="308" t="n"/>
      <c r="Y86" s="308" t="n"/>
    </row>
    <row customHeight="1" ht="20.25" r="87" s="307" spans="1:48">
      <c r="X87" s="308" t="n"/>
      <c r="Y87" s="308" t="n"/>
    </row>
    <row customHeight="1" ht="20.25" r="88" s="307" spans="1:48">
      <c r="X88" s="308" t="n"/>
      <c r="Y88" s="308" t="n"/>
    </row>
    <row customHeight="1" ht="20.25" r="89" s="307" spans="1:48">
      <c r="X89" s="308" t="n"/>
      <c r="Y89" s="308" t="n"/>
    </row>
    <row customHeight="1" ht="20.25" r="90" s="307" spans="1:48">
      <c r="X90" s="308" t="n"/>
      <c r="Y90" s="308" t="n"/>
    </row>
    <row customHeight="1" ht="20.25" r="91" s="307" spans="1:48">
      <c r="X91" s="308" t="n"/>
      <c r="Y91" s="308" t="n"/>
    </row>
    <row customHeight="1" ht="20.25" r="92" s="307" spans="1:48">
      <c r="X92" s="308" t="n"/>
      <c r="Y92" s="308" t="n"/>
    </row>
    <row customHeight="1" ht="20.25" r="93" s="307" spans="1:48">
      <c r="X93" s="308" t="n"/>
      <c r="Y93" s="308" t="n"/>
    </row>
    <row customHeight="1" ht="20.25" r="94" s="307" spans="1:48">
      <c r="X94" s="308" t="n"/>
      <c r="Y94" s="308" t="n"/>
    </row>
    <row customHeight="1" ht="20.25" r="95" s="307" spans="1:48">
      <c r="X95" s="308" t="n"/>
      <c r="Y95" s="308" t="n"/>
    </row>
    <row customHeight="1" ht="20.25" r="96" s="307" spans="1:48">
      <c r="X96" s="308" t="n"/>
      <c r="Y96" s="308" t="n"/>
    </row>
    <row customHeight="1" ht="20.25" r="97" s="307" spans="1:48">
      <c r="X97" s="308" t="n"/>
      <c r="Y97" s="308" t="n"/>
    </row>
    <row customHeight="1" ht="20.25" r="98" s="307" spans="1:48">
      <c r="X98" s="308" t="n"/>
      <c r="Y98" s="308" t="n"/>
    </row>
    <row customHeight="1" ht="20.25" r="99" s="307" spans="1:48">
      <c r="X99" s="308" t="n"/>
      <c r="Y99" s="308" t="n"/>
    </row>
    <row customHeight="1" ht="20.25" r="100" s="307" spans="1:48">
      <c r="X100" s="308" t="n"/>
      <c r="Y100" s="308" t="n"/>
    </row>
    <row customHeight="1" ht="20.25" r="101" s="307" spans="1:48">
      <c r="X101" s="308" t="n"/>
      <c r="Y101" s="308" t="n"/>
    </row>
    <row customHeight="1" ht="20.25" r="102" s="307" spans="1:48">
      <c r="X102" s="308" t="n"/>
      <c r="Y102" s="308" t="n"/>
    </row>
    <row customHeight="1" ht="20.25" r="103" s="307" spans="1:48">
      <c r="X103" s="308" t="n"/>
      <c r="Y103" s="308" t="n"/>
    </row>
    <row customHeight="1" ht="20.25" r="104" s="307" spans="1:48">
      <c r="X104" s="308" t="n"/>
      <c r="Y104" s="308" t="n"/>
    </row>
    <row customHeight="1" ht="20.25" r="105" s="307" spans="1:48">
      <c r="X105" s="308" t="n"/>
      <c r="Y105" s="308" t="n"/>
    </row>
    <row customHeight="1" ht="20.25" r="106" s="307" spans="1:48">
      <c r="X106" s="308" t="n"/>
      <c r="Y106" s="308" t="n"/>
    </row>
    <row customHeight="1" ht="20.25" r="107" s="307" spans="1:48">
      <c r="X107" s="308" t="n"/>
      <c r="Y107" s="308" t="n"/>
    </row>
    <row customHeight="1" ht="20.25" r="108" s="307" spans="1:48">
      <c r="X108" s="308" t="n"/>
      <c r="Y108" s="308" t="n"/>
    </row>
    <row customHeight="1" ht="20.25" r="109" s="307" spans="1:48">
      <c r="X109" s="308" t="n"/>
      <c r="Y109" s="308" t="n"/>
    </row>
    <row customHeight="1" ht="20.25" r="110" s="307" spans="1:48">
      <c r="X110" s="308" t="n"/>
      <c r="Y110" s="308" t="n"/>
    </row>
    <row customHeight="1" ht="20.25" r="111" s="307" spans="1:48">
      <c r="X111" s="308" t="n"/>
      <c r="Y111" s="308" t="n"/>
    </row>
    <row customHeight="1" ht="20.25" r="112" s="307" spans="1:48">
      <c r="X112" s="308" t="n"/>
      <c r="Y112" s="308" t="n"/>
    </row>
    <row customHeight="1" ht="20.25" r="113" s="307" spans="1:48">
      <c r="X113" s="308" t="n"/>
      <c r="Y113" s="308" t="n"/>
    </row>
    <row customHeight="1" ht="20.25" r="114" s="307" spans="1:48">
      <c r="X114" s="308" t="n"/>
      <c r="Y114" s="308" t="n"/>
    </row>
    <row customHeight="1" ht="20.25" r="115" s="307" spans="1:48">
      <c r="X115" s="308" t="n"/>
      <c r="Y115" s="308" t="n"/>
    </row>
    <row customHeight="1" ht="20.25" r="116" s="307" spans="1:48">
      <c r="X116" s="308" t="n"/>
      <c r="Y116" s="308" t="n"/>
    </row>
    <row customHeight="1" ht="20.25" r="117" s="307" spans="1:48">
      <c r="X117" s="308" t="n"/>
      <c r="Y117" s="308" t="n"/>
    </row>
    <row customHeight="1" ht="20.25" r="118" s="307" spans="1:48">
      <c r="X118" s="308" t="n"/>
      <c r="Y118" s="308" t="n"/>
    </row>
    <row customHeight="1" ht="20.25" r="119" s="307" spans="1:48">
      <c r="X119" s="308" t="n"/>
      <c r="Y119" s="308" t="n"/>
    </row>
    <row customHeight="1" ht="20.25" r="120" s="307" spans="1:48">
      <c r="X120" s="308" t="n"/>
      <c r="Y120" s="308" t="n"/>
    </row>
    <row customHeight="1" ht="20.25" r="121" s="307" spans="1:48">
      <c r="X121" s="308" t="n"/>
      <c r="Y121" s="308" t="n"/>
    </row>
    <row customHeight="1" ht="20.25" r="122" s="307" spans="1:48">
      <c r="X122" s="308" t="n"/>
      <c r="Y122" s="308" t="n"/>
    </row>
    <row customHeight="1" ht="20.25" r="123" s="307" spans="1:48">
      <c r="X123" s="308" t="n"/>
      <c r="Y123" s="308" t="n"/>
    </row>
    <row customHeight="1" ht="20.25" r="124" s="307" spans="1:48">
      <c r="X124" s="308" t="n"/>
      <c r="Y124" s="308" t="n"/>
    </row>
    <row customHeight="1" ht="20.25" r="125" s="307" spans="1:48">
      <c r="X125" s="308" t="n"/>
      <c r="Y125" s="308" t="n"/>
    </row>
    <row customHeight="1" ht="20.25" r="126" s="307" spans="1:48">
      <c r="X126" s="308" t="n"/>
      <c r="Y126" s="308" t="n"/>
    </row>
    <row customHeight="1" ht="20.25" r="127" s="307" spans="1:48">
      <c r="X127" s="308" t="n"/>
      <c r="Y127" s="308" t="n"/>
    </row>
    <row customHeight="1" ht="20.25" r="128" s="307" spans="1:48">
      <c r="X128" s="308" t="n"/>
      <c r="Y128" s="308" t="n"/>
    </row>
    <row customHeight="1" ht="20.25" r="129" s="307" spans="1:48">
      <c r="X129" s="308" t="n"/>
      <c r="Y129" s="308" t="n"/>
    </row>
    <row customHeight="1" ht="20.25" r="130" s="307" spans="1:48">
      <c r="X130" s="308" t="n"/>
      <c r="Y130" s="308" t="n"/>
    </row>
    <row customHeight="1" ht="20.25" r="131" s="307" spans="1:48">
      <c r="X131" s="308" t="n"/>
      <c r="Y131" s="308" t="n"/>
    </row>
    <row customHeight="1" ht="20.25" r="132" s="307" spans="1:48">
      <c r="X132" s="308" t="n"/>
      <c r="Y132" s="308" t="n"/>
    </row>
    <row customHeight="1" ht="20.25" r="133" s="307" spans="1:48">
      <c r="X133" s="308" t="n"/>
      <c r="Y133" s="308" t="n"/>
    </row>
    <row customHeight="1" ht="20.25" r="134" s="307" spans="1:48">
      <c r="X134" s="308" t="n"/>
      <c r="Y134" s="308" t="n"/>
    </row>
    <row customHeight="1" ht="20.25" r="135" s="307" spans="1:48">
      <c r="X135" s="308" t="n"/>
      <c r="Y135" s="308" t="n"/>
    </row>
    <row customHeight="1" ht="20.25" r="136" s="307" spans="1:48">
      <c r="X136" s="308" t="n"/>
      <c r="Y136" s="308" t="n"/>
    </row>
    <row customHeight="1" ht="20.25" r="137" s="307" spans="1:48">
      <c r="X137" s="308" t="n"/>
      <c r="Y137" s="308" t="n"/>
    </row>
    <row customHeight="1" ht="20.25" r="138" s="307" spans="1:48">
      <c r="X138" s="308" t="n"/>
      <c r="Y138" s="308" t="n"/>
    </row>
    <row customHeight="1" ht="20.25" r="139" s="307" spans="1:48">
      <c r="X139" s="308" t="n"/>
      <c r="Y139" s="308" t="n"/>
    </row>
    <row customHeight="1" ht="20.25" r="140" s="307" spans="1:48">
      <c r="X140" s="308" t="n"/>
      <c r="Y140" s="308" t="n"/>
    </row>
    <row customHeight="1" ht="20.25" r="141" s="307" spans="1:48">
      <c r="X141" s="308" t="n"/>
      <c r="Y141" s="308" t="n"/>
    </row>
    <row customHeight="1" ht="20.25" r="142" s="307" spans="1:48">
      <c r="X142" s="308" t="n"/>
      <c r="Y142" s="308" t="n"/>
    </row>
    <row customHeight="1" ht="20.25" r="143" s="307" spans="1:48">
      <c r="X143" s="308" t="n"/>
      <c r="Y143" s="308" t="n"/>
    </row>
    <row customHeight="1" ht="20.25" r="144" s="307" spans="1:48">
      <c r="X144" s="308" t="n"/>
      <c r="Y144" s="308" t="n"/>
    </row>
    <row customHeight="1" ht="20.25" r="145" s="307" spans="1:48">
      <c r="X145" s="308" t="n"/>
      <c r="Y145" s="308" t="n"/>
    </row>
    <row customHeight="1" ht="20.25" r="146" s="307" spans="1:48">
      <c r="X146" s="308" t="n"/>
      <c r="Y146" s="308" t="n"/>
    </row>
    <row customHeight="1" ht="20.25" r="147" s="307" spans="1:48">
      <c r="X147" s="308" t="n"/>
      <c r="Y147" s="308" t="n"/>
    </row>
    <row customHeight="1" ht="20.25" r="148" s="307" spans="1:48">
      <c r="X148" s="308" t="n"/>
      <c r="Y148" s="308" t="n"/>
    </row>
    <row customHeight="1" ht="20.25" r="149" s="307" spans="1:48">
      <c r="X149" s="308" t="n"/>
      <c r="Y149" s="308" t="n"/>
    </row>
    <row customHeight="1" ht="20.25" r="150" s="307" spans="1:48">
      <c r="X150" s="308" t="n"/>
      <c r="Y150" s="308" t="n"/>
    </row>
    <row customHeight="1" ht="20.25" r="151" s="307" spans="1:48">
      <c r="X151" s="308" t="n"/>
      <c r="Y151" s="308" t="n"/>
    </row>
    <row customHeight="1" ht="20.25" r="152" s="307" spans="1:48">
      <c r="X152" s="308" t="n"/>
      <c r="Y152" s="308" t="n"/>
    </row>
    <row customHeight="1" ht="20.25" r="153" s="307" spans="1:48">
      <c r="X153" s="308" t="n"/>
      <c r="Y153" s="308" t="n"/>
    </row>
    <row customHeight="1" ht="20.25" r="154" s="307" spans="1:48">
      <c r="X154" s="308" t="n"/>
      <c r="Y154" s="308" t="n"/>
    </row>
    <row customHeight="1" ht="20.25" r="155" s="307" spans="1:48">
      <c r="X155" s="308" t="n"/>
      <c r="Y155" s="308" t="n"/>
    </row>
    <row customHeight="1" ht="20.25" r="156" s="307" spans="1:48">
      <c r="X156" s="308" t="n"/>
      <c r="Y156" s="308" t="n"/>
    </row>
    <row customHeight="1" ht="20.25" r="157" s="307" spans="1:48">
      <c r="X157" s="308" t="n"/>
      <c r="Y157" s="308" t="n"/>
    </row>
    <row customHeight="1" ht="20.25" r="158" s="307" spans="1:48">
      <c r="X158" s="308" t="n"/>
      <c r="Y158" s="308" t="n"/>
    </row>
    <row customHeight="1" ht="20.25" r="159" s="307" spans="1:48">
      <c r="X159" s="308" t="n"/>
      <c r="Y159" s="308" t="n"/>
    </row>
    <row customHeight="1" ht="20.25" r="160" s="307" spans="1:48">
      <c r="X160" s="308" t="n"/>
      <c r="Y160" s="308" t="n"/>
    </row>
    <row customHeight="1" ht="20.25" r="161" s="307" spans="1:48">
      <c r="X161" s="308" t="n"/>
      <c r="Y161" s="308" t="n"/>
    </row>
    <row customHeight="1" ht="20.25" r="162" s="307" spans="1:48">
      <c r="X162" s="308" t="n"/>
      <c r="Y162" s="308" t="n"/>
    </row>
    <row customHeight="1" ht="20.25" r="163" s="307" spans="1:48">
      <c r="X163" s="308" t="n"/>
      <c r="Y163" s="308" t="n"/>
    </row>
    <row customHeight="1" ht="20.25" r="164" s="307" spans="1:48">
      <c r="X164" s="308" t="n"/>
      <c r="Y164" s="308" t="n"/>
    </row>
  </sheetData>
  <autoFilter ref="A1:AV164"/>
  <conditionalFormatting sqref="R2:S68">
    <cfRule priority="1" type="colorScale">
      <colorScale>
        <cfvo type="min"/>
        <cfvo type="percentile" val="50"/>
        <cfvo type="max"/>
        <color rgb="FF008000"/>
        <color rgb="FFFFEB84"/>
        <color rgb="FFFF0000"/>
      </colorScale>
    </cfRule>
  </conditionalFormatting>
  <conditionalFormatting sqref="Q2:Q33">
    <cfRule priority="2" type="colorScale">
      <colorScale>
        <cfvo type="min"/>
        <cfvo type="percentile" val="50"/>
        <cfvo type="max"/>
        <color rgb="FFFF7128"/>
        <color rgb="FFFFEB84"/>
        <color rgb="FF63BE7B"/>
      </colorScale>
    </cfRule>
  </conditionalFormatting>
  <conditionalFormatting sqref="T4:T68">
    <cfRule priority="3" type="colorScale">
      <colorScale>
        <cfvo type="min"/>
        <cfvo type="percentile" val="50"/>
        <cfvo type="max"/>
        <color rgb="FFFF7128"/>
        <color rgb="FFFFEB84"/>
        <color rgb="FF63BE7B"/>
      </colorScale>
    </cfRule>
  </conditionalFormatting>
  <pageMargins bottom="0.75" footer="0.3" header="0.3" left="0.7" right="0.7" top="0.7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64"/>
  <sheetViews>
    <sheetView tabSelected="1" topLeftCell="A3" workbookViewId="0">
      <selection activeCell="B4" sqref="B4"/>
    </sheetView>
  </sheetViews>
  <sheetFormatPr baseColWidth="10" defaultRowHeight="15"/>
  <cols>
    <col customWidth="1" max="1" min="1" style="308" width="13.83203125"/>
    <col bestFit="1" customWidth="1" max="2" min="2" style="308" width="27.5"/>
    <col bestFit="1" customWidth="1" max="3" min="3" style="308" width="15.5"/>
    <col customWidth="1" max="5" min="5" style="308" width="13.83203125"/>
    <col bestFit="1" customWidth="1" max="6" min="6" style="308" width="12.6640625"/>
    <col customWidth="1" max="8" min="7" style="308" width="13.83203125"/>
    <col customWidth="1" max="9" min="9" style="49" width="12.83203125"/>
    <col customWidth="1" max="10" min="10" style="307" width="13.83203125"/>
    <col bestFit="1" customWidth="1" max="12" min="12" style="308" width="11.33203125"/>
    <col customWidth="1" max="14" min="13" style="308" width="13.83203125"/>
    <col customWidth="1" max="25" min="20" style="308" width="13.83203125"/>
    <col customWidth="1" max="26" min="26" style="310" width="29.1640625"/>
  </cols>
  <sheetData>
    <row customHeight="1" hidden="1" ht="16" r="1" s="307" spans="1:28">
      <c r="A1" s="69" t="n">
        <v>2015090831</v>
      </c>
      <c r="B1" s="74" t="s">
        <v>0</v>
      </c>
      <c r="C1" s="79" t="s">
        <v>1</v>
      </c>
      <c r="D1" s="84" t="s">
        <v>2</v>
      </c>
      <c r="E1" s="84" t="s">
        <v>3</v>
      </c>
      <c r="F1" s="84" t="s">
        <v>4</v>
      </c>
      <c r="G1" s="89" t="n">
        <v>34873</v>
      </c>
      <c r="H1" s="94" t="n">
        <v>45126.27</v>
      </c>
      <c r="I1" s="98" t="n">
        <v>0.095</v>
      </c>
      <c r="J1" s="103" t="n">
        <v>436.5</v>
      </c>
      <c r="K1" s="103" t="n">
        <v>0</v>
      </c>
      <c r="L1" s="106" t="n">
        <v>117</v>
      </c>
      <c r="M1" s="107" t="n">
        <v>41821</v>
      </c>
      <c r="N1" s="107" t="n">
        <v>41852</v>
      </c>
      <c r="O1" s="109" t="n">
        <v>15000</v>
      </c>
      <c r="P1" s="114" t="n">
        <v>3750</v>
      </c>
      <c r="Q1" s="67">
        <f>P1/O1</f>
        <v/>
      </c>
      <c r="R1" s="67" t="n"/>
      <c r="S1" s="68">
        <f>O1-H1</f>
        <v/>
      </c>
      <c r="T1" s="309" t="n"/>
      <c r="U1" s="309" t="n"/>
      <c r="V1" s="309" t="n"/>
      <c r="W1" s="309" t="n"/>
      <c r="X1" s="309" t="n"/>
      <c r="Y1" s="309" t="n"/>
      <c r="Z1" s="140" t="n"/>
    </row>
    <row customHeight="1" hidden="1" ht="20" r="2" s="307" spans="1:28">
      <c r="A2" s="71" t="s">
        <v>5</v>
      </c>
      <c r="B2" s="76" t="s">
        <v>6</v>
      </c>
      <c r="C2" s="82" t="s">
        <v>7</v>
      </c>
      <c r="D2" s="76" t="s">
        <v>8</v>
      </c>
      <c r="E2" s="76" t="s">
        <v>9</v>
      </c>
      <c r="F2" s="76" t="s">
        <v>10</v>
      </c>
      <c r="G2" s="91" t="s">
        <v>11</v>
      </c>
      <c r="H2" s="96" t="s">
        <v>12</v>
      </c>
      <c r="I2" s="100" t="s">
        <v>13</v>
      </c>
      <c r="J2" s="96" t="s">
        <v>14</v>
      </c>
      <c r="K2" s="96" t="s">
        <v>15</v>
      </c>
      <c r="L2" s="76" t="s">
        <v>16</v>
      </c>
      <c r="M2" s="93" t="s">
        <v>17</v>
      </c>
      <c r="N2" s="93" t="s">
        <v>18</v>
      </c>
      <c r="O2" s="111" t="s">
        <v>19</v>
      </c>
      <c r="P2" s="115" t="s">
        <v>20</v>
      </c>
      <c r="Q2" s="67">
        <f>P2/O2</f>
        <v/>
      </c>
      <c r="R2" s="67" t="n"/>
      <c r="S2" s="68">
        <f>O2-H2</f>
        <v/>
      </c>
      <c r="T2" s="309" t="n"/>
      <c r="U2" s="309" t="n"/>
      <c r="V2" s="309" t="n"/>
      <c r="W2" s="309" t="n"/>
      <c r="X2" s="309" t="n"/>
      <c r="Y2" s="309" t="n"/>
      <c r="Z2" s="118" t="n"/>
    </row>
    <row customHeight="1" ht="46" r="3" s="307" spans="1:28">
      <c r="A3" s="207" t="s">
        <v>40</v>
      </c>
      <c r="B3" s="208" t="s">
        <v>6</v>
      </c>
      <c r="C3" s="208" t="s">
        <v>7</v>
      </c>
      <c r="D3" s="208" t="s">
        <v>8</v>
      </c>
      <c r="E3" s="208" t="s">
        <v>9</v>
      </c>
      <c r="F3" s="209" t="s">
        <v>41</v>
      </c>
      <c r="G3" s="210" t="s">
        <v>42</v>
      </c>
      <c r="H3" s="211" t="s">
        <v>12</v>
      </c>
      <c r="I3" s="209" t="s">
        <v>13</v>
      </c>
      <c r="J3" s="211" t="s">
        <v>14</v>
      </c>
      <c r="K3" s="211" t="s">
        <v>15</v>
      </c>
      <c r="L3" s="209" t="s">
        <v>43</v>
      </c>
      <c r="M3" s="210" t="s">
        <v>17</v>
      </c>
      <c r="N3" s="210" t="s">
        <v>18</v>
      </c>
      <c r="O3" s="211" t="s">
        <v>19</v>
      </c>
      <c r="P3" s="283" t="s">
        <v>20</v>
      </c>
      <c r="Q3" s="64" t="s">
        <v>45</v>
      </c>
      <c r="R3" s="64" t="s">
        <v>46</v>
      </c>
      <c r="S3" s="64" t="s">
        <v>47</v>
      </c>
      <c r="T3" s="64" t="s">
        <v>48</v>
      </c>
      <c r="U3" s="64" t="s">
        <v>49</v>
      </c>
      <c r="V3" s="64" t="s">
        <v>50</v>
      </c>
      <c r="W3" s="64" t="s">
        <v>51</v>
      </c>
      <c r="X3" s="64" t="s">
        <v>52</v>
      </c>
      <c r="Y3" s="64" t="s">
        <v>53</v>
      </c>
      <c r="Z3" s="118" t="s">
        <v>54</v>
      </c>
    </row>
    <row customHeight="1" ht="43" r="4" s="307" spans="1:28">
      <c r="A4" s="212" t="n">
        <v>26593</v>
      </c>
      <c r="B4" s="218" t="s">
        <v>148</v>
      </c>
      <c r="C4" s="219" t="s">
        <v>149</v>
      </c>
      <c r="D4" s="220" t="s">
        <v>124</v>
      </c>
      <c r="E4" s="220" t="n">
        <v>48234</v>
      </c>
      <c r="F4" s="220" t="s">
        <v>4</v>
      </c>
      <c r="G4" s="27" t="n">
        <v>38625</v>
      </c>
      <c r="H4" s="50" t="n">
        <v>24501.07</v>
      </c>
      <c r="I4" s="214" t="n">
        <v>0.09</v>
      </c>
      <c r="J4" s="15" t="n">
        <v>227.18</v>
      </c>
      <c r="K4" s="15" t="n">
        <v>125.78</v>
      </c>
      <c r="L4" s="26" t="n">
        <v>272</v>
      </c>
      <c r="M4" s="27" t="n">
        <v>41380</v>
      </c>
      <c r="N4" s="25" t="n">
        <v>41334</v>
      </c>
      <c r="O4" s="5" t="n">
        <v>17000</v>
      </c>
      <c r="P4" s="20" t="n">
        <v>5100</v>
      </c>
      <c r="Q4" s="67">
        <f>P4/O4</f>
        <v/>
      </c>
      <c r="R4" s="185">
        <f>P4/W4</f>
        <v/>
      </c>
      <c r="S4" s="306">
        <f>O4-H4</f>
        <v/>
      </c>
      <c r="T4" s="306" t="s">
        <v>261</v>
      </c>
      <c r="U4" s="306" t="s">
        <v>262</v>
      </c>
      <c r="V4" s="306" t="n">
        <v>43000</v>
      </c>
      <c r="W4" s="306">
        <f>AVERAGE(T4:V4)</f>
        <v/>
      </c>
      <c r="X4" s="306">
        <f>Y4/0.01</f>
        <v/>
      </c>
      <c r="Y4" s="306" t="n">
        <v>450</v>
      </c>
      <c r="Z4" s="134" t="s">
        <v>150</v>
      </c>
    </row>
    <row customFormat="1" customHeight="1" ht="33" r="5" s="188" spans="1:28">
      <c r="A5" s="212" t="n">
        <v>2515</v>
      </c>
      <c r="B5" s="215" t="s">
        <v>151</v>
      </c>
      <c r="C5" s="216" t="s">
        <v>149</v>
      </c>
      <c r="D5" s="220" t="s">
        <v>124</v>
      </c>
      <c r="E5" s="220" t="n">
        <v>48234</v>
      </c>
      <c r="F5" s="220" t="s">
        <v>4</v>
      </c>
      <c r="G5" s="27" t="n">
        <v>40482</v>
      </c>
      <c r="H5" s="50" t="n">
        <v>20413.55</v>
      </c>
      <c r="I5" s="214" t="n">
        <v>0.09</v>
      </c>
      <c r="J5" s="15" t="n">
        <v>190.98</v>
      </c>
      <c r="K5" s="15" t="n">
        <v>180</v>
      </c>
      <c r="L5" s="26" t="n">
        <v>217</v>
      </c>
      <c r="M5" s="27" t="n">
        <v>41257</v>
      </c>
      <c r="N5" s="25" t="n">
        <v>41258</v>
      </c>
      <c r="O5" s="5" t="n">
        <v>19000</v>
      </c>
      <c r="P5" s="20" t="n">
        <v>5500</v>
      </c>
      <c r="Q5" s="185">
        <f>P5/O5</f>
        <v/>
      </c>
      <c r="R5" s="185">
        <f>P5/W5</f>
        <v/>
      </c>
      <c r="S5" s="189">
        <f>O5-H5</f>
        <v/>
      </c>
      <c r="T5" s="306" t="s">
        <v>263</v>
      </c>
      <c r="U5" s="306" t="s">
        <v>264</v>
      </c>
      <c r="V5" s="306" t="n">
        <v>58000</v>
      </c>
      <c r="W5" s="306">
        <f>AVERAGE(T5:V5)</f>
        <v/>
      </c>
      <c r="X5" s="306">
        <f>Y5/0.01</f>
        <v/>
      </c>
      <c r="Y5" s="306" t="n">
        <v>470</v>
      </c>
      <c r="Z5" s="134" t="s">
        <v>152</v>
      </c>
    </row>
    <row customHeight="1" ht="35" r="6" s="307" spans="1:28">
      <c r="A6" s="221" t="n">
        <v>39813</v>
      </c>
      <c r="B6" s="218" t="s">
        <v>171</v>
      </c>
      <c r="C6" s="219" t="s">
        <v>172</v>
      </c>
      <c r="D6" s="220" t="s">
        <v>173</v>
      </c>
      <c r="E6" s="220" t="n">
        <v>64110</v>
      </c>
      <c r="F6" s="220" t="s">
        <v>4</v>
      </c>
      <c r="G6" s="27" t="n">
        <v>41100</v>
      </c>
      <c r="H6" s="50" t="n">
        <v>44638.6</v>
      </c>
      <c r="I6" s="214" t="n">
        <v>0.0999</v>
      </c>
      <c r="J6" s="15" t="n">
        <v>440</v>
      </c>
      <c r="K6" s="15" t="n">
        <v>81.04000000000001</v>
      </c>
      <c r="L6" s="26" t="n">
        <v>218</v>
      </c>
      <c r="M6" s="27" t="n">
        <v>41913</v>
      </c>
      <c r="N6" s="25" t="n">
        <v>41852</v>
      </c>
      <c r="O6" s="295" t="n">
        <v>22500</v>
      </c>
      <c r="P6" s="20" t="n">
        <v>6750</v>
      </c>
      <c r="Q6" s="67">
        <f>P6/O6</f>
        <v/>
      </c>
      <c r="R6" s="185">
        <f>P6/W6</f>
        <v/>
      </c>
      <c r="S6" s="306">
        <f>O6-H6</f>
        <v/>
      </c>
      <c r="T6" s="306" t="s">
        <v>265</v>
      </c>
      <c r="U6" s="306" t="s">
        <v>266</v>
      </c>
      <c r="V6" s="306" t="n">
        <v>51150</v>
      </c>
      <c r="W6" s="306">
        <f>AVERAGE(T6:V6)</f>
        <v/>
      </c>
      <c r="X6" s="306">
        <f>Y6/0.01</f>
        <v/>
      </c>
      <c r="Y6" s="306" t="n">
        <v>687</v>
      </c>
      <c r="Z6" s="134" t="s">
        <v>174</v>
      </c>
    </row>
    <row customFormat="1" customHeight="1" ht="20.25" r="7" s="188" spans="1:28">
      <c r="A7" s="328" t="n">
        <v>2015112506</v>
      </c>
      <c r="B7" s="329" t="s">
        <v>81</v>
      </c>
      <c r="C7" s="329" t="s">
        <v>82</v>
      </c>
      <c r="D7" s="148" t="s">
        <v>2</v>
      </c>
      <c r="E7" s="148" t="n">
        <v>47834</v>
      </c>
      <c r="F7" s="148" t="s">
        <v>4</v>
      </c>
      <c r="G7" s="155" t="n">
        <v>41316</v>
      </c>
      <c r="H7" s="183" t="n">
        <v>29000.27</v>
      </c>
      <c r="I7" s="330" t="n">
        <v>0.1</v>
      </c>
      <c r="J7" s="183" t="n">
        <v>448.16</v>
      </c>
      <c r="K7" s="183" t="n">
        <v>75</v>
      </c>
      <c r="L7" s="148" t="n">
        <v>94</v>
      </c>
      <c r="M7" s="155" t="n">
        <v>41488</v>
      </c>
      <c r="N7" s="155" t="n">
        <v>41456</v>
      </c>
      <c r="O7" s="331" t="n">
        <v>28000</v>
      </c>
      <c r="P7" s="157" t="n">
        <v>8400</v>
      </c>
      <c r="Q7" s="185">
        <f>P7/O7</f>
        <v/>
      </c>
      <c r="R7" s="185">
        <f>P7/W7</f>
        <v/>
      </c>
      <c r="S7" s="189">
        <f>O7-H7</f>
        <v/>
      </c>
      <c r="T7" s="189" t="s">
        <v>267</v>
      </c>
      <c r="U7" s="189" t="s">
        <v>266</v>
      </c>
      <c r="V7" s="189" t="n">
        <v>56000</v>
      </c>
      <c r="W7" s="189">
        <f>AVERAGE(T7:V7)</f>
        <v/>
      </c>
      <c r="X7" s="189">
        <f>Y7/0.01</f>
        <v/>
      </c>
      <c r="Y7" s="189" t="n">
        <v>538</v>
      </c>
      <c r="Z7" s="186" t="s">
        <v>83</v>
      </c>
    </row>
    <row customFormat="1" customHeight="1" ht="20" r="8" s="188" spans="1:28">
      <c r="A8" s="328" t="n">
        <v>2015112504</v>
      </c>
      <c r="B8" s="329" t="s">
        <v>84</v>
      </c>
      <c r="C8" s="329" t="s">
        <v>85</v>
      </c>
      <c r="D8" s="148" t="s">
        <v>2</v>
      </c>
      <c r="E8" s="148" t="n">
        <v>46901</v>
      </c>
      <c r="F8" s="148" t="s">
        <v>4</v>
      </c>
      <c r="G8" s="155" t="n">
        <v>41313</v>
      </c>
      <c r="H8" s="332" t="n">
        <v>31290.89</v>
      </c>
      <c r="I8" s="330" t="n">
        <v>0.1</v>
      </c>
      <c r="J8" s="332" t="n">
        <v>448.68</v>
      </c>
      <c r="K8" s="332" t="n">
        <v>127</v>
      </c>
      <c r="L8" s="148" t="n">
        <v>105</v>
      </c>
      <c r="M8" s="155" t="n">
        <v>41374</v>
      </c>
      <c r="N8" s="333" t="n">
        <v>41334</v>
      </c>
      <c r="O8" s="334" t="n">
        <v>23500</v>
      </c>
      <c r="P8" s="335" t="n">
        <v>7050</v>
      </c>
      <c r="Q8" s="185">
        <f>P8/O8</f>
        <v/>
      </c>
      <c r="R8" s="185">
        <f>P8/W8</f>
        <v/>
      </c>
      <c r="S8" s="189">
        <f>O8-H8</f>
        <v/>
      </c>
      <c r="T8" s="189" t="s">
        <v>268</v>
      </c>
      <c r="U8" s="189" t="s">
        <v>266</v>
      </c>
      <c r="V8" s="189" t="n">
        <v>49000</v>
      </c>
      <c r="W8" s="189">
        <f>AVERAGE(T8:V8)</f>
        <v/>
      </c>
      <c r="X8" s="189">
        <f>Y8/0.01</f>
        <v/>
      </c>
      <c r="Y8" s="189" t="n">
        <v>450</v>
      </c>
      <c r="Z8" s="186" t="s">
        <v>86</v>
      </c>
    </row>
    <row customFormat="1" customHeight="1" ht="17" r="9" s="188" spans="1:28">
      <c r="A9" s="328" t="n">
        <v>2015112507</v>
      </c>
      <c r="B9" s="329" t="s">
        <v>36</v>
      </c>
      <c r="C9" s="329" t="s">
        <v>37</v>
      </c>
      <c r="D9" s="148" t="s">
        <v>38</v>
      </c>
      <c r="E9" s="148" t="n">
        <v>21801</v>
      </c>
      <c r="F9" s="148" t="s">
        <v>4</v>
      </c>
      <c r="G9" s="155" t="n">
        <v>40664</v>
      </c>
      <c r="H9" s="332" t="n">
        <v>40657.94</v>
      </c>
      <c r="I9" s="330" t="n">
        <v>0.1</v>
      </c>
      <c r="J9" s="332" t="n">
        <v>436.03</v>
      </c>
      <c r="K9" s="332" t="n">
        <v>85</v>
      </c>
      <c r="L9" s="148" t="n">
        <v>181</v>
      </c>
      <c r="M9" s="155" t="n">
        <v>41613</v>
      </c>
      <c r="N9" s="333" t="n">
        <v>41532</v>
      </c>
      <c r="O9" s="334" t="n">
        <v>40000</v>
      </c>
      <c r="P9" s="335" t="n">
        <v>14000</v>
      </c>
      <c r="Q9" s="185">
        <f>P9/O9</f>
        <v/>
      </c>
      <c r="R9" s="185">
        <f>P9/W9</f>
        <v/>
      </c>
      <c r="S9" s="189">
        <f>O9-H9</f>
        <v/>
      </c>
      <c r="T9" s="189" t="s">
        <v>269</v>
      </c>
      <c r="U9" s="189" t="s">
        <v>270</v>
      </c>
      <c r="V9" s="189" t="n">
        <v>48000</v>
      </c>
      <c r="W9" s="189">
        <f>AVERAGE(T9:V9)</f>
        <v/>
      </c>
      <c r="X9" s="189">
        <f>Y9/0.01</f>
        <v/>
      </c>
      <c r="Y9" s="189" t="n">
        <v>650</v>
      </c>
      <c r="Z9" s="336" t="s">
        <v>39</v>
      </c>
    </row>
    <row customFormat="1" customHeight="1" ht="48" r="10" s="202" spans="1:28">
      <c r="A10" s="224" t="n">
        <v>2015110407</v>
      </c>
      <c r="B10" s="225" t="s">
        <v>26</v>
      </c>
      <c r="C10" s="226" t="s">
        <v>27</v>
      </c>
      <c r="D10" s="227" t="s">
        <v>28</v>
      </c>
      <c r="E10" s="227" t="s">
        <v>29</v>
      </c>
      <c r="F10" s="220" t="s">
        <v>4</v>
      </c>
      <c r="G10" s="27" t="n">
        <v>38869</v>
      </c>
      <c r="H10" s="295" t="n">
        <v>75833.96000000001</v>
      </c>
      <c r="I10" s="222" t="n">
        <v>0.0998</v>
      </c>
      <c r="J10" s="50" t="n">
        <v>686.77</v>
      </c>
      <c r="K10" s="50" t="n">
        <v>322</v>
      </c>
      <c r="L10" s="26" t="n">
        <v>303</v>
      </c>
      <c r="M10" s="27" t="n">
        <v>41760</v>
      </c>
      <c r="N10" s="289" t="n">
        <v>41791</v>
      </c>
      <c r="O10" s="290" t="n">
        <v>70000</v>
      </c>
      <c r="P10" s="300" t="n">
        <v>31500</v>
      </c>
      <c r="Q10" s="198">
        <f>P10/O10</f>
        <v/>
      </c>
      <c r="R10" s="198">
        <f>P10/W10</f>
        <v/>
      </c>
      <c r="S10" s="199">
        <f>O10-H10</f>
        <v/>
      </c>
      <c r="T10" s="306" t="s">
        <v>271</v>
      </c>
      <c r="U10" s="306" t="s">
        <v>272</v>
      </c>
      <c r="V10" s="306" t="n">
        <v>78000</v>
      </c>
      <c r="W10" s="306">
        <f>AVERAGE(T10:V10)</f>
        <v/>
      </c>
      <c r="X10" s="306">
        <f>Y10/0.01</f>
        <v/>
      </c>
      <c r="Y10" s="306" t="n">
        <v>975</v>
      </c>
      <c r="Z10" s="134" t="s">
        <v>30</v>
      </c>
    </row>
    <row customHeight="1" ht="20" r="11" s="307" spans="1:28">
      <c r="A11" s="224" t="n">
        <v>2015110409</v>
      </c>
      <c r="B11" s="225" t="s">
        <v>162</v>
      </c>
      <c r="C11" s="226" t="s">
        <v>163</v>
      </c>
      <c r="D11" s="227" t="s">
        <v>141</v>
      </c>
      <c r="E11" s="227" t="s">
        <v>164</v>
      </c>
      <c r="F11" s="220" t="s">
        <v>4</v>
      </c>
      <c r="G11" s="27" t="n">
        <v>38626</v>
      </c>
      <c r="H11" s="50" t="n">
        <v>113376.92</v>
      </c>
      <c r="I11" s="222" t="n">
        <v>0.0759</v>
      </c>
      <c r="J11" s="50" t="n">
        <v>899.66</v>
      </c>
      <c r="K11" s="50" t="n">
        <v>298.08</v>
      </c>
      <c r="L11" s="26" t="n">
        <v>253</v>
      </c>
      <c r="M11" s="27" t="n">
        <v>41791</v>
      </c>
      <c r="N11" s="289" t="n">
        <v>41821</v>
      </c>
      <c r="O11" s="290" t="n">
        <v>33000</v>
      </c>
      <c r="P11" s="300" t="n">
        <v>10785</v>
      </c>
      <c r="Q11" s="67">
        <f>P11/O11</f>
        <v/>
      </c>
      <c r="R11" s="198">
        <f>P11/W11</f>
        <v/>
      </c>
      <c r="S11" s="306">
        <f>O11-H11</f>
        <v/>
      </c>
      <c r="T11" s="306" t="s">
        <v>273</v>
      </c>
      <c r="U11" s="306" t="s">
        <v>266</v>
      </c>
      <c r="V11" s="306" t="n">
        <v>84000</v>
      </c>
      <c r="W11" s="306">
        <f>AVERAGE(T11:V11)</f>
        <v/>
      </c>
      <c r="X11" s="306">
        <f>Y11/0.01</f>
        <v/>
      </c>
      <c r="Y11" s="306" t="n">
        <v>472</v>
      </c>
      <c r="Z11" s="134" t="s">
        <v>165</v>
      </c>
    </row>
    <row customFormat="1" customHeight="1" ht="44" r="12" s="188" spans="1:28">
      <c r="A12" s="337" t="n">
        <v>2015110408</v>
      </c>
      <c r="B12" s="338" t="s">
        <v>127</v>
      </c>
      <c r="C12" s="339" t="s">
        <v>128</v>
      </c>
      <c r="D12" s="340" t="s">
        <v>129</v>
      </c>
      <c r="E12" s="340" t="s">
        <v>130</v>
      </c>
      <c r="F12" s="148" t="s">
        <v>4</v>
      </c>
      <c r="G12" s="155" t="n">
        <v>36497</v>
      </c>
      <c r="H12" s="332" t="n">
        <v>35340.88</v>
      </c>
      <c r="I12" s="330" t="n">
        <v>0.09619999999999999</v>
      </c>
      <c r="J12" s="332" t="n">
        <v>341.38</v>
      </c>
      <c r="K12" s="332" t="n">
        <v>41.38</v>
      </c>
      <c r="L12" s="148" t="n">
        <v>222</v>
      </c>
      <c r="M12" s="155" t="n">
        <v>40497</v>
      </c>
      <c r="N12" s="333" t="n">
        <v>40527</v>
      </c>
      <c r="O12" s="334" t="n">
        <v>29000</v>
      </c>
      <c r="P12" s="335" t="n">
        <v>8750</v>
      </c>
      <c r="Q12" s="185">
        <f>P12/O12</f>
        <v/>
      </c>
      <c r="R12" s="185">
        <f>P12/W12</f>
        <v/>
      </c>
      <c r="S12" s="189">
        <f>O12-H12</f>
        <v/>
      </c>
      <c r="T12" s="189" t="s">
        <v>274</v>
      </c>
      <c r="U12" s="189" t="s">
        <v>266</v>
      </c>
      <c r="V12" s="189" t="n">
        <v>77670</v>
      </c>
      <c r="W12" s="189">
        <f>AVERAGE(T12:V12)</f>
        <v/>
      </c>
      <c r="X12" s="189">
        <f>Y12/0.01</f>
        <v/>
      </c>
      <c r="Y12" s="189" t="n">
        <v>540</v>
      </c>
      <c r="Z12" s="186" t="s">
        <v>131</v>
      </c>
    </row>
    <row customFormat="1" customHeight="1" ht="39" r="13" s="188" spans="1:28">
      <c r="A13" s="337" t="n">
        <v>2015110416</v>
      </c>
      <c r="B13" s="338" t="s">
        <v>97</v>
      </c>
      <c r="C13" s="339" t="s">
        <v>98</v>
      </c>
      <c r="D13" s="340" t="s">
        <v>28</v>
      </c>
      <c r="E13" s="340" t="s">
        <v>99</v>
      </c>
      <c r="F13" s="148" t="s">
        <v>4</v>
      </c>
      <c r="G13" s="155" t="n">
        <v>35339</v>
      </c>
      <c r="H13" s="332" t="n">
        <v>15251.18</v>
      </c>
      <c r="I13" s="330" t="n">
        <v>0.0825</v>
      </c>
      <c r="J13" s="332" t="n">
        <v>313.99</v>
      </c>
      <c r="K13" s="332" t="n">
        <v>65</v>
      </c>
      <c r="L13" s="148" t="n">
        <v>60</v>
      </c>
      <c r="M13" s="155" t="n">
        <v>41821</v>
      </c>
      <c r="N13" s="333" t="n">
        <v>41852</v>
      </c>
      <c r="O13" s="334" t="n">
        <v>24000</v>
      </c>
      <c r="P13" s="335" t="n">
        <v>3815</v>
      </c>
      <c r="Q13" s="185">
        <f>P13/O13</f>
        <v/>
      </c>
      <c r="R13" s="185">
        <f>P13/W13</f>
        <v/>
      </c>
      <c r="S13" s="189">
        <f>O13-H13</f>
        <v/>
      </c>
      <c r="T13" s="189" t="s">
        <v>275</v>
      </c>
      <c r="U13" s="189" t="s">
        <v>276</v>
      </c>
      <c r="V13" s="189" t="n">
        <v>49000</v>
      </c>
      <c r="W13" s="189">
        <f>AVERAGE(T13:V13)</f>
        <v/>
      </c>
      <c r="X13" s="189">
        <f>Y13/0.01</f>
        <v/>
      </c>
      <c r="Y13" s="189" t="n">
        <v>650</v>
      </c>
      <c r="Z13" s="186" t="s">
        <v>100</v>
      </c>
    </row>
    <row customFormat="1" customHeight="1" ht="48" r="14" s="188" spans="1:28">
      <c r="A14" s="328" t="n">
        <v>2015113001</v>
      </c>
      <c r="B14" s="329" t="s">
        <v>94</v>
      </c>
      <c r="C14" s="329" t="s">
        <v>95</v>
      </c>
      <c r="D14" s="148" t="s">
        <v>28</v>
      </c>
      <c r="E14" s="148" t="n">
        <v>44646</v>
      </c>
      <c r="F14" s="148" t="s">
        <v>4</v>
      </c>
      <c r="G14" s="155" t="n">
        <v>40842</v>
      </c>
      <c r="H14" s="332" t="n">
        <v>37871.3</v>
      </c>
      <c r="I14" s="330" t="n">
        <v>0.1</v>
      </c>
      <c r="J14" s="332" t="n">
        <v>324.7</v>
      </c>
      <c r="K14" s="332" t="n"/>
      <c r="L14" s="148" t="n">
        <v>431</v>
      </c>
      <c r="M14" s="155" t="n">
        <v>41562</v>
      </c>
      <c r="N14" s="333" t="n">
        <v>41593</v>
      </c>
      <c r="O14" s="334" t="n">
        <v>45000</v>
      </c>
      <c r="P14" s="335" t="n">
        <v>11360</v>
      </c>
      <c r="Q14" s="185">
        <f>P14/O14</f>
        <v/>
      </c>
      <c r="R14" s="185">
        <f>P14/W14</f>
        <v/>
      </c>
      <c r="S14" s="189">
        <f>O14-H14</f>
        <v/>
      </c>
      <c r="T14" s="189" t="s">
        <v>277</v>
      </c>
      <c r="U14" s="189" t="s">
        <v>278</v>
      </c>
      <c r="V14" s="189" t="n">
        <v>65680</v>
      </c>
      <c r="W14" s="189">
        <f>AVERAGE(T14:V14)</f>
        <v/>
      </c>
      <c r="X14" s="189">
        <f>Y14/0.01</f>
        <v/>
      </c>
      <c r="Y14" s="189" t="n">
        <v>675</v>
      </c>
      <c r="Z14" s="186" t="s">
        <v>96</v>
      </c>
    </row>
    <row customFormat="1" customHeight="1" ht="42" r="15" s="188" spans="1:28">
      <c r="A15" s="328" t="n">
        <v>2015110603</v>
      </c>
      <c r="B15" s="341" t="s">
        <v>101</v>
      </c>
      <c r="C15" s="342" t="s">
        <v>102</v>
      </c>
      <c r="D15" s="343" t="s">
        <v>74</v>
      </c>
      <c r="E15" s="343" t="s">
        <v>103</v>
      </c>
      <c r="F15" s="148" t="s">
        <v>4</v>
      </c>
      <c r="G15" s="155" t="n">
        <v>38596</v>
      </c>
      <c r="H15" s="332" t="n">
        <v>60460.76</v>
      </c>
      <c r="I15" s="330" t="n">
        <v>0.0775</v>
      </c>
      <c r="J15" s="332" t="n">
        <v>695.1</v>
      </c>
      <c r="K15" s="332" t="n">
        <v>225.7</v>
      </c>
      <c r="L15" s="148" t="n">
        <v>129</v>
      </c>
      <c r="M15" s="155" t="n">
        <v>41000</v>
      </c>
      <c r="N15" s="333" t="n">
        <v>41030</v>
      </c>
      <c r="O15" s="334" t="n">
        <v>58500</v>
      </c>
      <c r="P15" s="335" t="n">
        <v>23400</v>
      </c>
      <c r="Q15" s="185">
        <f>P15/O15</f>
        <v/>
      </c>
      <c r="R15" s="185">
        <f>P15/W15</f>
        <v/>
      </c>
      <c r="S15" s="189">
        <f>O15-H15</f>
        <v/>
      </c>
      <c r="T15" s="189" t="s">
        <v>279</v>
      </c>
      <c r="U15" s="189" t="s">
        <v>280</v>
      </c>
      <c r="V15" s="189" t="n">
        <v>115370</v>
      </c>
      <c r="W15" s="189">
        <f>AVERAGE(T15:V15)</f>
        <v/>
      </c>
      <c r="X15" s="189">
        <f>Y15/0.01</f>
        <v/>
      </c>
      <c r="Y15" s="189" t="n">
        <v>1200</v>
      </c>
      <c r="Z15" s="344" t="s">
        <v>100</v>
      </c>
    </row>
    <row customHeight="1" ht="45" r="16" s="307" spans="1:28">
      <c r="A16" s="231" t="n">
        <v>2015062902</v>
      </c>
      <c r="B16" s="218" t="s">
        <v>63</v>
      </c>
      <c r="C16" s="219" t="s">
        <v>64</v>
      </c>
      <c r="D16" s="3" t="s">
        <v>65</v>
      </c>
      <c r="E16" s="3" t="n">
        <v>38105</v>
      </c>
      <c r="F16" s="26" t="s">
        <v>4</v>
      </c>
      <c r="G16" s="27" t="n">
        <v>40750</v>
      </c>
      <c r="H16" s="50" t="n">
        <v>45226.5</v>
      </c>
      <c r="I16" s="214" t="n">
        <v>0.08210000000000001</v>
      </c>
      <c r="J16" s="15" t="n">
        <v>399.72</v>
      </c>
      <c r="K16" s="15" t="n">
        <v>121</v>
      </c>
      <c r="L16" s="26" t="n">
        <v>219</v>
      </c>
      <c r="M16" s="27" t="n">
        <v>41456</v>
      </c>
      <c r="N16" s="25" t="n">
        <v>41487</v>
      </c>
      <c r="O16" s="5" t="n">
        <v>44500</v>
      </c>
      <c r="P16" s="20" t="n">
        <v>22000</v>
      </c>
      <c r="Q16" s="67">
        <f>P16/O16</f>
        <v/>
      </c>
      <c r="R16" s="198">
        <f>P16/W16</f>
        <v/>
      </c>
      <c r="S16" s="306">
        <f>O16-H16</f>
        <v/>
      </c>
      <c r="T16" s="306" t="s">
        <v>281</v>
      </c>
      <c r="U16" s="306" t="s">
        <v>282</v>
      </c>
      <c r="V16" s="306" t="n">
        <v>91000</v>
      </c>
      <c r="W16" s="306">
        <f>AVERAGE(T16:V16)</f>
        <v/>
      </c>
      <c r="X16" s="306">
        <f>Y16/0.01</f>
        <v/>
      </c>
      <c r="Y16" s="306" t="n">
        <v>1350</v>
      </c>
      <c r="Z16" s="138" t="s">
        <v>66</v>
      </c>
    </row>
    <row customFormat="1" customHeight="1" ht="45" r="17" s="188" spans="1:28">
      <c r="A17" s="328" t="n">
        <v>2015062904</v>
      </c>
      <c r="B17" s="194" t="s">
        <v>104</v>
      </c>
      <c r="C17" s="329" t="s">
        <v>105</v>
      </c>
      <c r="D17" s="147" t="s">
        <v>106</v>
      </c>
      <c r="E17" s="147" t="n">
        <v>53968</v>
      </c>
      <c r="F17" s="148" t="s">
        <v>4</v>
      </c>
      <c r="G17" s="155" t="n">
        <v>40955</v>
      </c>
      <c r="H17" s="332" t="n">
        <v>43151.84</v>
      </c>
      <c r="I17" s="330" t="n">
        <v>0.1</v>
      </c>
      <c r="J17" s="183" t="n">
        <v>372.97</v>
      </c>
      <c r="K17" s="183" t="n">
        <v>98</v>
      </c>
      <c r="L17" s="148" t="n">
        <v>316</v>
      </c>
      <c r="M17" s="155" t="n">
        <v>41532</v>
      </c>
      <c r="N17" s="155" t="n">
        <v>41562</v>
      </c>
      <c r="O17" s="183" t="n">
        <v>39900</v>
      </c>
      <c r="P17" s="157" t="n">
        <v>19150</v>
      </c>
      <c r="Q17" s="185">
        <f>P17/O17</f>
        <v/>
      </c>
      <c r="R17" s="185">
        <f>P17/W17</f>
        <v/>
      </c>
      <c r="S17" s="189">
        <f>O17-H17</f>
        <v/>
      </c>
      <c r="T17" s="189" t="s">
        <v>283</v>
      </c>
      <c r="U17" s="189" t="s">
        <v>266</v>
      </c>
      <c r="V17" s="189" t="n">
        <v>14640</v>
      </c>
      <c r="W17" s="189">
        <f>AVERAGE(T17:V17)</f>
        <v/>
      </c>
      <c r="X17" s="189">
        <f>Y17/0.01</f>
        <v/>
      </c>
      <c r="Y17" s="189" t="n">
        <v>475</v>
      </c>
      <c r="Z17" s="345" t="s">
        <v>107</v>
      </c>
    </row>
    <row customHeight="1" ht="34" r="18" s="307" spans="1:28">
      <c r="A18" s="231" t="n">
        <v>2015062908</v>
      </c>
      <c r="B18" s="218" t="s">
        <v>180</v>
      </c>
      <c r="C18" s="219" t="s">
        <v>181</v>
      </c>
      <c r="D18" s="3" t="s">
        <v>89</v>
      </c>
      <c r="E18" s="3" t="n">
        <v>28039</v>
      </c>
      <c r="F18" s="26" t="s">
        <v>4</v>
      </c>
      <c r="G18" s="27" t="n">
        <v>40750</v>
      </c>
      <c r="H18" s="50" t="n">
        <v>34163.67</v>
      </c>
      <c r="I18" s="214" t="n">
        <v>0.1</v>
      </c>
      <c r="J18" s="15" t="n">
        <v>300.35</v>
      </c>
      <c r="K18" s="15" t="n">
        <v>51.4</v>
      </c>
      <c r="L18" s="26" t="n">
        <v>309</v>
      </c>
      <c r="M18" s="27" t="n">
        <v>41030</v>
      </c>
      <c r="N18" s="25" t="n">
        <v>41061</v>
      </c>
      <c r="O18" s="5" t="n">
        <v>22400</v>
      </c>
      <c r="P18" s="300" t="n">
        <v>11760</v>
      </c>
      <c r="Q18" s="67">
        <f>P18/O18</f>
        <v/>
      </c>
      <c r="R18" s="198">
        <f>P18/W18</f>
        <v/>
      </c>
      <c r="S18" s="306">
        <f>O18-H18</f>
        <v/>
      </c>
      <c r="T18" s="306" t="s">
        <v>283</v>
      </c>
      <c r="U18" s="306" t="s">
        <v>266</v>
      </c>
      <c r="V18" s="306" t="n"/>
      <c r="W18" s="306">
        <f>AVERAGE(T18:V18)</f>
        <v/>
      </c>
      <c r="X18" s="306">
        <f>Y18/0.01</f>
        <v/>
      </c>
      <c r="Y18" s="306" t="n"/>
      <c r="Z18" s="138" t="n"/>
    </row>
    <row customFormat="1" customHeight="1" ht="40" r="19" s="188" spans="1:28">
      <c r="A19" s="328" t="n">
        <v>2015062910</v>
      </c>
      <c r="B19" s="194" t="s">
        <v>108</v>
      </c>
      <c r="C19" s="329" t="s">
        <v>109</v>
      </c>
      <c r="D19" s="147" t="s">
        <v>2</v>
      </c>
      <c r="E19" s="147" t="n">
        <v>47995</v>
      </c>
      <c r="F19" s="148" t="s">
        <v>4</v>
      </c>
      <c r="G19" s="155" t="n">
        <v>40660</v>
      </c>
      <c r="H19" s="332" t="n">
        <v>33178.74</v>
      </c>
      <c r="I19" s="330" t="n">
        <v>0.1</v>
      </c>
      <c r="J19" s="183" t="n">
        <v>296.96</v>
      </c>
      <c r="K19" s="183" t="n">
        <v>132</v>
      </c>
      <c r="L19" s="148" t="n">
        <v>306</v>
      </c>
      <c r="M19" s="155" t="n">
        <v>41667</v>
      </c>
      <c r="N19" s="155" t="n">
        <v>41698</v>
      </c>
      <c r="O19" s="183" t="n">
        <v>25700</v>
      </c>
      <c r="P19" s="335" t="n">
        <v>12335</v>
      </c>
      <c r="Q19" s="185">
        <f>P19/O19</f>
        <v/>
      </c>
      <c r="R19" s="185">
        <f>P19/W19</f>
        <v/>
      </c>
      <c r="S19" s="189">
        <f>O19-H19</f>
        <v/>
      </c>
      <c r="T19" s="189" t="s">
        <v>284</v>
      </c>
      <c r="U19" s="189" t="s">
        <v>266</v>
      </c>
      <c r="V19" s="189" t="n">
        <v>68000</v>
      </c>
      <c r="W19" s="189">
        <f>AVERAGE(T19:V19)</f>
        <v/>
      </c>
      <c r="X19" s="189">
        <f>Y19/0.01</f>
        <v/>
      </c>
      <c r="Y19" s="189" t="n">
        <v>805</v>
      </c>
      <c r="Z19" s="344" t="s">
        <v>107</v>
      </c>
    </row>
    <row customFormat="1" customHeight="1" ht="38" r="20" s="188" spans="1:28">
      <c r="A20" s="328" t="n">
        <v>2015090805</v>
      </c>
      <c r="B20" s="338" t="s">
        <v>87</v>
      </c>
      <c r="C20" s="339" t="s">
        <v>88</v>
      </c>
      <c r="D20" s="340" t="s">
        <v>89</v>
      </c>
      <c r="E20" s="340" t="s">
        <v>90</v>
      </c>
      <c r="F20" s="148" t="s">
        <v>4</v>
      </c>
      <c r="G20" s="155" t="n">
        <v>39184</v>
      </c>
      <c r="H20" s="332" t="n">
        <v>57788.93</v>
      </c>
      <c r="I20" s="330" t="n">
        <v>0.08375</v>
      </c>
      <c r="J20" s="183" t="n">
        <v>444.52</v>
      </c>
      <c r="K20" s="183" t="n">
        <v>112.98</v>
      </c>
      <c r="L20" s="148" t="n">
        <v>258</v>
      </c>
      <c r="M20" s="155" t="n">
        <v>39741</v>
      </c>
      <c r="N20" s="155" t="n">
        <v>39772</v>
      </c>
      <c r="O20" s="332" t="n">
        <v>46000</v>
      </c>
      <c r="P20" s="157" t="n">
        <v>23000</v>
      </c>
      <c r="Q20" s="185">
        <f>P20/O20</f>
        <v/>
      </c>
      <c r="R20" s="185">
        <f>P20/W20</f>
        <v/>
      </c>
      <c r="S20" s="189">
        <f>O20-H20</f>
        <v/>
      </c>
      <c r="T20" s="189" t="s">
        <v>285</v>
      </c>
      <c r="U20" s="189" t="s">
        <v>266</v>
      </c>
      <c r="V20" s="189" t="n">
        <v>44000</v>
      </c>
      <c r="W20" s="189">
        <f>AVERAGE(T20:V20)</f>
        <v/>
      </c>
      <c r="X20" s="189">
        <f>Y20/0.01</f>
        <v/>
      </c>
      <c r="Y20" s="189" t="n">
        <v>825</v>
      </c>
      <c r="Z20" s="186" t="s">
        <v>83</v>
      </c>
    </row>
    <row customHeight="1" ht="20" r="21" s="307" spans="1:28">
      <c r="A21" s="231" t="n">
        <v>2015090817</v>
      </c>
      <c r="B21" s="225" t="s">
        <v>153</v>
      </c>
      <c r="C21" s="226" t="s">
        <v>154</v>
      </c>
      <c r="D21" s="227" t="s">
        <v>155</v>
      </c>
      <c r="E21" s="227" t="s">
        <v>156</v>
      </c>
      <c r="F21" s="26" t="s">
        <v>4</v>
      </c>
      <c r="G21" s="27" t="n">
        <v>37232</v>
      </c>
      <c r="H21" s="50" t="n">
        <v>43993.78</v>
      </c>
      <c r="I21" s="214" t="n">
        <v>0.114</v>
      </c>
      <c r="J21" s="15" t="n">
        <v>468.73</v>
      </c>
      <c r="K21" s="15" t="n">
        <v>0</v>
      </c>
      <c r="L21" s="26" t="n">
        <v>171</v>
      </c>
      <c r="M21" s="27" t="n">
        <v>41791</v>
      </c>
      <c r="N21" s="25" t="n">
        <v>41821</v>
      </c>
      <c r="O21" s="295" t="n">
        <v>17000</v>
      </c>
      <c r="P21" s="20" t="n">
        <v>6250</v>
      </c>
      <c r="Q21" s="67">
        <f>P21/O21</f>
        <v/>
      </c>
      <c r="R21" s="198">
        <f>P21/W21</f>
        <v/>
      </c>
      <c r="S21" s="306">
        <f>O21-H21</f>
        <v/>
      </c>
      <c r="T21" s="306" t="s">
        <v>286</v>
      </c>
      <c r="U21" s="306" t="s">
        <v>287</v>
      </c>
      <c r="V21" s="306" t="n">
        <v>80900</v>
      </c>
      <c r="W21" s="306">
        <f>AVERAGE(T21:V21)</f>
        <v/>
      </c>
      <c r="X21" s="306">
        <f>Y21/0.01</f>
        <v/>
      </c>
      <c r="Y21" s="306" t="n">
        <v>775</v>
      </c>
      <c r="Z21" s="135" t="s">
        <v>157</v>
      </c>
    </row>
    <row customHeight="1" ht="20" r="22" s="307" spans="1:28">
      <c r="A22" s="231" t="n">
        <v>2015090832</v>
      </c>
      <c r="B22" s="232" t="s">
        <v>58</v>
      </c>
      <c r="C22" s="226" t="s">
        <v>59</v>
      </c>
      <c r="D22" s="227" t="s">
        <v>60</v>
      </c>
      <c r="E22" s="227" t="s">
        <v>61</v>
      </c>
      <c r="F22" s="227" t="s">
        <v>4</v>
      </c>
      <c r="G22" s="27" t="n">
        <v>36974</v>
      </c>
      <c r="H22" s="50" t="n">
        <v>52674.32</v>
      </c>
      <c r="I22" s="214" t="n">
        <v>0.08</v>
      </c>
      <c r="J22" s="15" t="n">
        <v>478.86</v>
      </c>
      <c r="K22" s="15" t="n">
        <v>16.04</v>
      </c>
      <c r="L22" s="26" t="n">
        <v>186</v>
      </c>
      <c r="M22" s="27" t="n">
        <v>41487</v>
      </c>
      <c r="N22" s="25" t="n">
        <v>41518</v>
      </c>
      <c r="O22" s="288" t="n">
        <v>47000</v>
      </c>
      <c r="P22" s="20" t="n">
        <v>23325</v>
      </c>
      <c r="Q22" s="67">
        <f>P22/O22</f>
        <v/>
      </c>
      <c r="R22" s="198">
        <f>P22/W22</f>
        <v/>
      </c>
      <c r="S22" s="306">
        <f>O22-H22</f>
        <v/>
      </c>
      <c r="T22" s="306" t="s">
        <v>288</v>
      </c>
      <c r="U22" s="306" t="s">
        <v>266</v>
      </c>
      <c r="V22" s="306" t="n"/>
      <c r="W22" s="306">
        <f>AVERAGE(T22:V22)</f>
        <v/>
      </c>
      <c r="X22" s="306">
        <f>Y22/0.01</f>
        <v/>
      </c>
      <c r="Y22" s="306" t="n">
        <v>850</v>
      </c>
      <c r="Z22" s="134" t="s">
        <v>62</v>
      </c>
    </row>
    <row customHeight="1" ht="13" r="23" s="307" spans="1:28">
      <c r="A23" s="231" t="n">
        <v>2015090833</v>
      </c>
      <c r="B23" s="232" t="s">
        <v>72</v>
      </c>
      <c r="C23" s="226" t="s">
        <v>73</v>
      </c>
      <c r="D23" s="227" t="s">
        <v>74</v>
      </c>
      <c r="E23" s="227" t="s">
        <v>75</v>
      </c>
      <c r="F23" s="227" t="s">
        <v>76</v>
      </c>
      <c r="G23" s="27" t="n">
        <v>38026</v>
      </c>
      <c r="H23" s="50" t="n">
        <v>42904.29</v>
      </c>
      <c r="I23" s="214" t="n">
        <v>0.10375</v>
      </c>
      <c r="J23" s="15" t="n">
        <v>676.63</v>
      </c>
      <c r="K23" s="15" t="n">
        <v>254.46</v>
      </c>
      <c r="L23" s="26" t="n">
        <v>221</v>
      </c>
      <c r="M23" s="27" t="n">
        <v>41548</v>
      </c>
      <c r="N23" s="25" t="n">
        <v>41579</v>
      </c>
      <c r="O23" s="288" t="n">
        <v>40000</v>
      </c>
      <c r="P23" s="20" t="n">
        <v>19400</v>
      </c>
      <c r="Q23" s="67">
        <f>P23/O23</f>
        <v/>
      </c>
      <c r="R23" s="198">
        <f>P23/W23</f>
        <v/>
      </c>
      <c r="S23" s="306">
        <f>O23-H23</f>
        <v/>
      </c>
      <c r="T23" s="306" t="s">
        <v>289</v>
      </c>
      <c r="U23" s="306" t="s">
        <v>262</v>
      </c>
      <c r="V23" s="306" t="n">
        <v>45000</v>
      </c>
      <c r="W23" s="306">
        <f>AVERAGE(T23:V23)</f>
        <v/>
      </c>
      <c r="X23" s="306">
        <f>Y23/0.01</f>
        <v/>
      </c>
      <c r="Y23" s="306" t="n">
        <v>575</v>
      </c>
      <c r="Z23" s="325" t="s">
        <v>77</v>
      </c>
    </row>
    <row customHeight="1" ht="47" r="24" s="307" spans="1:28">
      <c r="A24" s="231" t="n">
        <v>2015090839</v>
      </c>
      <c r="B24" s="225" t="s">
        <v>67</v>
      </c>
      <c r="C24" s="226" t="s">
        <v>68</v>
      </c>
      <c r="D24" s="227" t="s">
        <v>69</v>
      </c>
      <c r="E24" s="227" t="s">
        <v>70</v>
      </c>
      <c r="F24" s="26" t="s">
        <v>4</v>
      </c>
      <c r="G24" s="27" t="n">
        <v>39139</v>
      </c>
      <c r="H24" s="50" t="n">
        <v>49692.33</v>
      </c>
      <c r="I24" s="214" t="n">
        <v>0.0512</v>
      </c>
      <c r="J24" s="15" t="n">
        <v>498.82</v>
      </c>
      <c r="K24" s="15" t="n">
        <v>0</v>
      </c>
      <c r="L24" s="26" t="n">
        <v>233</v>
      </c>
      <c r="M24" s="27" t="n">
        <v>42036</v>
      </c>
      <c r="N24" s="25" t="n">
        <v>42064</v>
      </c>
      <c r="O24" s="295" t="n">
        <v>32500</v>
      </c>
      <c r="P24" s="20" t="n">
        <v>13815</v>
      </c>
      <c r="Q24" s="67">
        <f>P24/O24</f>
        <v/>
      </c>
      <c r="R24" s="198">
        <f>P24/W24</f>
        <v/>
      </c>
      <c r="S24" s="306">
        <f>O24-H24</f>
        <v/>
      </c>
      <c r="T24" s="306" t="s">
        <v>290</v>
      </c>
      <c r="U24" s="306" t="s">
        <v>291</v>
      </c>
      <c r="V24" s="306" t="n">
        <v>58000</v>
      </c>
      <c r="W24" s="306">
        <f>AVERAGE(T24:V24)</f>
        <v/>
      </c>
      <c r="X24" s="306">
        <f>Y24/0.01</f>
        <v/>
      </c>
      <c r="Y24" s="306" t="n">
        <v>1000</v>
      </c>
      <c r="Z24" s="325" t="s">
        <v>71</v>
      </c>
    </row>
    <row customFormat="1" customHeight="1" ht="43" r="25" s="188" spans="1:28">
      <c r="A25" s="328" t="n">
        <v>2015090841</v>
      </c>
      <c r="B25" s="338" t="s">
        <v>118</v>
      </c>
      <c r="C25" s="339" t="s">
        <v>119</v>
      </c>
      <c r="D25" s="340" t="s">
        <v>74</v>
      </c>
      <c r="E25" s="340" t="s">
        <v>120</v>
      </c>
      <c r="F25" s="340" t="s">
        <v>4</v>
      </c>
      <c r="G25" s="155" t="n">
        <v>39386</v>
      </c>
      <c r="H25" s="332" t="n">
        <v>138552.61</v>
      </c>
      <c r="I25" s="330" t="n">
        <v>0.10625</v>
      </c>
      <c r="J25" s="183" t="n">
        <v>1352.88</v>
      </c>
      <c r="K25" s="183" t="n">
        <v>733.86</v>
      </c>
      <c r="L25" s="148" t="n">
        <v>244</v>
      </c>
      <c r="M25" s="155" t="n">
        <v>41579</v>
      </c>
      <c r="N25" s="155" t="n">
        <v>41609</v>
      </c>
      <c r="O25" s="331" t="n">
        <v>29000</v>
      </c>
      <c r="P25" s="157" t="n">
        <v>11600</v>
      </c>
      <c r="Q25" s="185">
        <f>P25/O25</f>
        <v/>
      </c>
      <c r="R25" s="185">
        <f>P25/W25</f>
        <v/>
      </c>
      <c r="S25" s="189">
        <f>O25-H25</f>
        <v/>
      </c>
      <c r="T25" s="189" t="s">
        <v>292</v>
      </c>
      <c r="U25" s="189" t="s">
        <v>266</v>
      </c>
      <c r="V25" s="189" t="n"/>
      <c r="W25" s="189">
        <f>AVERAGE(T25:V25)</f>
        <v/>
      </c>
      <c r="X25" s="189">
        <f>Y25/0.01</f>
        <v/>
      </c>
      <c r="Y25" s="189" t="n">
        <v>975</v>
      </c>
      <c r="Z25" s="186" t="s">
        <v>121</v>
      </c>
    </row>
    <row customHeight="1" ht="20.25" r="26" s="307" spans="1:28">
      <c r="A26" s="231" t="n">
        <v>2015090842</v>
      </c>
      <c r="B26" s="232" t="s">
        <v>182</v>
      </c>
      <c r="C26" s="226" t="s">
        <v>183</v>
      </c>
      <c r="D26" s="227" t="s">
        <v>69</v>
      </c>
      <c r="E26" s="227" t="s">
        <v>184</v>
      </c>
      <c r="F26" s="227" t="s">
        <v>185</v>
      </c>
      <c r="G26" s="27" t="n">
        <v>39391</v>
      </c>
      <c r="H26" s="50" t="n">
        <v>49370.52</v>
      </c>
      <c r="I26" s="214" t="n">
        <v>0.10375</v>
      </c>
      <c r="J26" s="15" t="n">
        <v>461.76</v>
      </c>
      <c r="K26" s="15" t="n">
        <v>0</v>
      </c>
      <c r="L26" s="26" t="n">
        <v>265</v>
      </c>
      <c r="M26" s="27" t="n">
        <v>41883</v>
      </c>
      <c r="N26" s="25" t="n">
        <v>41913</v>
      </c>
      <c r="O26" s="288" t="n">
        <v>28000</v>
      </c>
      <c r="P26" s="20" t="n">
        <v>13300</v>
      </c>
      <c r="Q26" s="67">
        <f>P26/O26</f>
        <v/>
      </c>
      <c r="R26" s="198">
        <f>P26/W26</f>
        <v/>
      </c>
      <c r="S26" s="306">
        <f>O26-H26</f>
        <v/>
      </c>
      <c r="T26" s="306" t="s">
        <v>283</v>
      </c>
      <c r="U26" s="306" t="s">
        <v>266</v>
      </c>
      <c r="V26" s="306" t="n"/>
      <c r="W26" s="306">
        <f>AVERAGE(T26:V26)</f>
        <v/>
      </c>
      <c r="X26" s="306">
        <f>Y26/0.01</f>
        <v/>
      </c>
      <c r="Y26" s="306" t="n"/>
      <c r="Z26" s="134" t="n"/>
    </row>
    <row customHeight="1" ht="20.25" r="27" s="307" spans="1:28">
      <c r="A27" s="231" t="n">
        <v>2015090846</v>
      </c>
      <c r="B27" s="225" t="s">
        <v>158</v>
      </c>
      <c r="C27" s="226" t="s">
        <v>159</v>
      </c>
      <c r="D27" s="227" t="s">
        <v>2</v>
      </c>
      <c r="E27" s="227" t="s">
        <v>160</v>
      </c>
      <c r="F27" s="26" t="s">
        <v>4</v>
      </c>
      <c r="G27" s="27" t="n">
        <v>38566</v>
      </c>
      <c r="H27" s="50" t="n">
        <v>84700.95</v>
      </c>
      <c r="I27" s="214" t="n">
        <v>0.0725</v>
      </c>
      <c r="J27" s="15" t="n">
        <v>570.03</v>
      </c>
      <c r="K27" s="15" t="n">
        <v>0</v>
      </c>
      <c r="L27" s="26" t="n">
        <v>239</v>
      </c>
      <c r="M27" s="27" t="n">
        <v>40483</v>
      </c>
      <c r="N27" s="25" t="n">
        <v>40513</v>
      </c>
      <c r="O27" s="50" t="n">
        <v>42000</v>
      </c>
      <c r="P27" s="116" t="n">
        <v>18900</v>
      </c>
      <c r="Q27" s="67">
        <f>P27/O27</f>
        <v/>
      </c>
      <c r="R27" s="198">
        <f>P27/W27</f>
        <v/>
      </c>
      <c r="S27" s="306">
        <f>O27-H27</f>
        <v/>
      </c>
      <c r="T27" s="306" t="s">
        <v>293</v>
      </c>
      <c r="U27" s="306" t="s">
        <v>266</v>
      </c>
      <c r="V27" s="306" t="n"/>
      <c r="W27" s="306">
        <f>AVERAGE(T27:V27)</f>
        <v/>
      </c>
      <c r="X27" s="306">
        <f>Y27/0.01</f>
        <v/>
      </c>
      <c r="Y27" s="306" t="n">
        <v>940</v>
      </c>
      <c r="Z27" s="325" t="s">
        <v>161</v>
      </c>
      <c r="AA27" s="22" t="n"/>
      <c r="AB27" s="22" t="n"/>
    </row>
    <row customHeight="1" ht="20.25" r="28" s="307" spans="1:28">
      <c r="A28" s="231" t="n">
        <v>2015090808</v>
      </c>
      <c r="B28" s="226" t="s">
        <v>175</v>
      </c>
      <c r="C28" s="226" t="s">
        <v>176</v>
      </c>
      <c r="D28" s="227" t="s">
        <v>28</v>
      </c>
      <c r="E28" s="227" t="s">
        <v>177</v>
      </c>
      <c r="F28" s="233" t="s">
        <v>178</v>
      </c>
      <c r="G28" s="234" t="n">
        <v>37830</v>
      </c>
      <c r="H28" s="5" t="n">
        <v>35407.2</v>
      </c>
      <c r="I28" s="235" t="n">
        <v>0.09429999999999999</v>
      </c>
      <c r="J28" s="50" t="n">
        <v>319.26</v>
      </c>
      <c r="K28" s="50" t="n">
        <v>51.1</v>
      </c>
      <c r="L28" s="26" t="n">
        <v>264</v>
      </c>
      <c r="M28" s="27" t="n">
        <v>40722</v>
      </c>
      <c r="N28" s="289" t="n">
        <v>40752</v>
      </c>
      <c r="O28" s="290" t="n">
        <v>35000</v>
      </c>
      <c r="P28" s="300" t="n">
        <v>12250</v>
      </c>
      <c r="Q28" s="67">
        <f>P28/O28</f>
        <v/>
      </c>
      <c r="R28" s="198">
        <f>P28/W28</f>
        <v/>
      </c>
      <c r="S28" s="306">
        <f>O28-H28</f>
        <v/>
      </c>
      <c r="T28" s="306" t="s">
        <v>283</v>
      </c>
      <c r="U28" s="306" t="s">
        <v>266</v>
      </c>
      <c r="V28" s="306" t="n">
        <v>39000</v>
      </c>
      <c r="W28" s="306">
        <f>AVERAGE(T28:V28)</f>
        <v/>
      </c>
      <c r="X28" s="306">
        <f>Y28/0.01</f>
        <v/>
      </c>
      <c r="Y28" s="306" t="n"/>
      <c r="Z28" s="139" t="s">
        <v>179</v>
      </c>
    </row>
    <row customFormat="1" customHeight="1" ht="33.75" r="29" s="188" spans="1:28">
      <c r="A29" s="328" t="n">
        <v>2015090810</v>
      </c>
      <c r="B29" s="339" t="s">
        <v>144</v>
      </c>
      <c r="C29" s="339" t="s">
        <v>145</v>
      </c>
      <c r="D29" s="340" t="s">
        <v>2</v>
      </c>
      <c r="E29" s="340" t="s">
        <v>146</v>
      </c>
      <c r="F29" s="340" t="s">
        <v>4</v>
      </c>
      <c r="G29" s="155" t="n">
        <v>38899</v>
      </c>
      <c r="H29" s="183" t="n">
        <v>59867.83</v>
      </c>
      <c r="I29" s="346" t="n">
        <v>0.0825</v>
      </c>
      <c r="J29" s="332" t="n">
        <v>480.74</v>
      </c>
      <c r="K29" s="332" t="n">
        <v>75.91</v>
      </c>
      <c r="L29" s="148" t="n">
        <v>264</v>
      </c>
      <c r="M29" s="155" t="n">
        <v>41760</v>
      </c>
      <c r="N29" s="333" t="n">
        <v>41791</v>
      </c>
      <c r="O29" s="334" t="n">
        <v>35000</v>
      </c>
      <c r="P29" s="335" t="n">
        <v>17000</v>
      </c>
      <c r="Q29" s="185">
        <f>P29/O29</f>
        <v/>
      </c>
      <c r="R29" s="185">
        <f>P29/W29</f>
        <v/>
      </c>
      <c r="S29" s="189">
        <f>O29-H29</f>
        <v/>
      </c>
      <c r="T29" s="189" t="s">
        <v>294</v>
      </c>
      <c r="U29" s="189" t="s">
        <v>266</v>
      </c>
      <c r="V29" s="189" t="n">
        <v>61000</v>
      </c>
      <c r="W29" s="189">
        <f>AVERAGE(T29:V29)</f>
        <v/>
      </c>
      <c r="X29" s="189">
        <f>Y29/0.01</f>
        <v/>
      </c>
      <c r="Y29" s="189" t="n"/>
      <c r="Z29" s="347" t="s">
        <v>147</v>
      </c>
    </row>
    <row customHeight="1" ht="20.25" r="30" s="307" spans="1:28">
      <c r="A30" s="231" t="n">
        <v>2015090821</v>
      </c>
      <c r="B30" s="236" t="s">
        <v>186</v>
      </c>
      <c r="C30" s="236" t="s">
        <v>187</v>
      </c>
      <c r="D30" s="237" t="s">
        <v>23</v>
      </c>
      <c r="E30" s="237" t="s">
        <v>188</v>
      </c>
      <c r="F30" s="237" t="s">
        <v>4</v>
      </c>
      <c r="G30" s="27" t="n">
        <v>39022</v>
      </c>
      <c r="H30" s="5" t="n">
        <v>78797.13</v>
      </c>
      <c r="I30" s="238" t="n">
        <v>0.0775</v>
      </c>
      <c r="J30" s="50" t="n">
        <v>585.46</v>
      </c>
      <c r="K30" s="50" t="n">
        <v>0</v>
      </c>
      <c r="L30" s="26" t="n">
        <v>264</v>
      </c>
      <c r="M30" s="27" t="n">
        <v>41796</v>
      </c>
      <c r="N30" s="291" t="n">
        <v>41826</v>
      </c>
      <c r="O30" s="292" t="n">
        <v>32000</v>
      </c>
      <c r="P30" s="301" t="n">
        <v>12800</v>
      </c>
      <c r="Q30" s="67">
        <f>P30/O30</f>
        <v/>
      </c>
      <c r="R30" s="198">
        <f>P30/W30</f>
        <v/>
      </c>
      <c r="S30" s="306">
        <f>O30-H30</f>
        <v/>
      </c>
      <c r="T30" s="306" t="s">
        <v>283</v>
      </c>
      <c r="U30" s="306" t="s">
        <v>266</v>
      </c>
      <c r="V30" s="306" t="n"/>
      <c r="W30" s="306">
        <f>AVERAGE(T30:V30)</f>
        <v/>
      </c>
      <c r="X30" s="306">
        <f>Y30/0.01</f>
        <v/>
      </c>
      <c r="Y30" s="306" t="n"/>
      <c r="Z30" s="134" t="n"/>
    </row>
    <row customHeight="1" ht="20.25" r="31" s="307" spans="1:28">
      <c r="A31" s="231" t="n">
        <v>2015090824</v>
      </c>
      <c r="B31" s="236" t="s">
        <v>78</v>
      </c>
      <c r="C31" s="236" t="s">
        <v>79</v>
      </c>
      <c r="D31" s="237" t="s">
        <v>38</v>
      </c>
      <c r="E31" s="237" t="s">
        <v>80</v>
      </c>
      <c r="F31" s="237" t="s">
        <v>4</v>
      </c>
      <c r="G31" s="27" t="n">
        <v>39264</v>
      </c>
      <c r="H31" s="5" t="n">
        <v>66750</v>
      </c>
      <c r="I31" s="238" t="n">
        <v>0.08375</v>
      </c>
      <c r="J31" s="50" t="n">
        <v>465.86</v>
      </c>
      <c r="K31" s="50" t="n">
        <v>121.95</v>
      </c>
      <c r="L31" s="26" t="n">
        <v>277</v>
      </c>
      <c r="M31" s="27" t="n">
        <v>41821</v>
      </c>
      <c r="N31" s="291" t="n">
        <v>41852</v>
      </c>
      <c r="O31" s="292" t="n">
        <v>21000</v>
      </c>
      <c r="P31" s="301" t="n">
        <v>7350</v>
      </c>
      <c r="Q31" s="67">
        <f>P31/O31</f>
        <v/>
      </c>
      <c r="R31" s="198">
        <f>P31/W31</f>
        <v/>
      </c>
      <c r="S31" s="306">
        <f>O31-H31</f>
        <v/>
      </c>
      <c r="T31" s="306" t="s">
        <v>295</v>
      </c>
      <c r="U31" s="306" t="s">
        <v>291</v>
      </c>
      <c r="V31" s="306" t="n">
        <v>40000</v>
      </c>
      <c r="W31" s="306">
        <f>AVERAGE(T31:V31)</f>
        <v/>
      </c>
      <c r="X31" s="306">
        <f>Y31/0.01</f>
        <v/>
      </c>
      <c r="Y31" s="306" t="n">
        <v>1200</v>
      </c>
      <c r="Z31" s="134" t="s">
        <v>77</v>
      </c>
    </row>
    <row customFormat="1" customHeight="1" ht="20.25" r="32" s="188" spans="1:28">
      <c r="A32" s="328" t="n">
        <v>2015090825</v>
      </c>
      <c r="B32" s="339" t="s">
        <v>114</v>
      </c>
      <c r="C32" s="339" t="s">
        <v>115</v>
      </c>
      <c r="D32" s="340" t="s">
        <v>74</v>
      </c>
      <c r="E32" s="340" t="s">
        <v>116</v>
      </c>
      <c r="F32" s="340" t="s">
        <v>4</v>
      </c>
      <c r="G32" s="155" t="n">
        <v>38534</v>
      </c>
      <c r="H32" s="183" t="n">
        <v>93540.75999999999</v>
      </c>
      <c r="I32" s="346" t="n">
        <v>0.06375</v>
      </c>
      <c r="J32" s="332" t="n">
        <v>606.4</v>
      </c>
      <c r="K32" s="332" t="n">
        <v>264.86</v>
      </c>
      <c r="L32" s="148" t="n">
        <v>324</v>
      </c>
      <c r="M32" s="155" t="n">
        <v>39600</v>
      </c>
      <c r="N32" s="333" t="n">
        <v>39630</v>
      </c>
      <c r="O32" s="334" t="n">
        <v>36000</v>
      </c>
      <c r="P32" s="335" t="n">
        <v>12600</v>
      </c>
      <c r="Q32" s="185">
        <f>P32/O32</f>
        <v/>
      </c>
      <c r="R32" s="185">
        <f>P32/W32</f>
        <v/>
      </c>
      <c r="S32" s="189">
        <f>O32-H32</f>
        <v/>
      </c>
      <c r="T32" s="189" t="s">
        <v>296</v>
      </c>
      <c r="U32" s="189" t="s">
        <v>297</v>
      </c>
      <c r="V32" s="189" t="n">
        <v>48000</v>
      </c>
      <c r="W32" s="189">
        <f>AVERAGE(T32:V32)</f>
        <v/>
      </c>
      <c r="X32" s="189">
        <f>Y32/0.01</f>
        <v/>
      </c>
      <c r="Y32" s="189" t="n">
        <v>1400</v>
      </c>
      <c r="Z32" s="186" t="s">
        <v>117</v>
      </c>
      <c r="AA32" s="348" t="n"/>
      <c r="AB32" s="348" t="n"/>
    </row>
    <row customFormat="1" customHeight="1" ht="20.25" r="33" s="188" spans="1:28">
      <c r="A33" s="328" t="n">
        <v>2015090827</v>
      </c>
      <c r="B33" s="339" t="s">
        <v>132</v>
      </c>
      <c r="C33" s="339" t="s">
        <v>133</v>
      </c>
      <c r="D33" s="340" t="s">
        <v>23</v>
      </c>
      <c r="E33" s="340" t="s">
        <v>134</v>
      </c>
      <c r="F33" s="340" t="s">
        <v>4</v>
      </c>
      <c r="G33" s="155" t="n">
        <v>38869</v>
      </c>
      <c r="H33" s="183" t="n">
        <v>35620.28</v>
      </c>
      <c r="I33" s="346" t="n">
        <v>0.0713</v>
      </c>
      <c r="J33" s="332" t="n">
        <v>450.44</v>
      </c>
      <c r="K33" s="332" t="n">
        <v>0</v>
      </c>
      <c r="L33" s="148" t="n">
        <v>300</v>
      </c>
      <c r="M33" s="349" t="n">
        <v>40664</v>
      </c>
      <c r="N33" s="333" t="n">
        <v>40695</v>
      </c>
      <c r="O33" s="334" t="n">
        <v>27000</v>
      </c>
      <c r="P33" s="157" t="n">
        <v>9450</v>
      </c>
      <c r="Q33" s="185">
        <f>P33/O33</f>
        <v/>
      </c>
      <c r="R33" s="185">
        <f>P33/W33</f>
        <v/>
      </c>
      <c r="S33" s="189">
        <f>O33-H33</f>
        <v/>
      </c>
      <c r="T33" s="189" t="s">
        <v>298</v>
      </c>
      <c r="U33" s="189" t="s">
        <v>299</v>
      </c>
      <c r="V33" s="189" t="n">
        <v>63390</v>
      </c>
      <c r="W33" s="189">
        <f>AVERAGE(T33:V33)</f>
        <v/>
      </c>
      <c r="X33" s="189">
        <f>Y33/0.01</f>
        <v/>
      </c>
      <c r="Y33" s="189" t="n">
        <v>695</v>
      </c>
      <c r="Z33" s="186" t="s">
        <v>135</v>
      </c>
      <c r="AA33" s="348" t="n"/>
      <c r="AB33" s="348" t="n"/>
    </row>
    <row customHeight="1" ht="20.25" r="34" s="307" spans="1:28">
      <c r="A34" s="231" t="n">
        <v>2015090801</v>
      </c>
      <c r="B34" s="236" t="s">
        <v>166</v>
      </c>
      <c r="C34" s="226" t="s">
        <v>167</v>
      </c>
      <c r="D34" s="227" t="s">
        <v>106</v>
      </c>
      <c r="E34" s="227" t="s">
        <v>168</v>
      </c>
      <c r="F34" s="26" t="s">
        <v>4</v>
      </c>
      <c r="G34" s="25" t="n">
        <v>39904</v>
      </c>
      <c r="H34" s="50" t="n">
        <v>102649.1</v>
      </c>
      <c r="I34" s="214" t="n">
        <v>0.05</v>
      </c>
      <c r="J34" s="50" t="n">
        <v>553.04</v>
      </c>
      <c r="K34" s="50" t="n">
        <v>305.03</v>
      </c>
      <c r="L34" s="26" t="n">
        <v>302</v>
      </c>
      <c r="M34" s="27" t="n">
        <v>41745</v>
      </c>
      <c r="N34" s="25" t="n">
        <v>42217</v>
      </c>
      <c r="O34" s="295" t="n">
        <v>23500</v>
      </c>
      <c r="P34" s="20" t="n">
        <v>7050</v>
      </c>
      <c r="Q34" s="67">
        <f>P34/O34</f>
        <v/>
      </c>
      <c r="R34" s="198">
        <f>P34/W34</f>
        <v/>
      </c>
      <c r="S34" s="306">
        <f>O34-H34</f>
        <v/>
      </c>
      <c r="T34" s="306" t="s">
        <v>300</v>
      </c>
      <c r="U34" s="306" t="s">
        <v>301</v>
      </c>
      <c r="V34" s="306" t="n"/>
      <c r="W34" s="306">
        <f>AVERAGE(T34:V34)</f>
        <v/>
      </c>
      <c r="X34" s="306">
        <f>Y34/0.01</f>
        <v/>
      </c>
      <c r="Y34" s="306" t="n"/>
      <c r="Z34" s="134" t="s">
        <v>165</v>
      </c>
      <c r="AA34" s="22" t="n"/>
      <c r="AB34" s="22" t="n"/>
    </row>
    <row customHeight="1" ht="20.25" r="35" s="307" spans="1:28">
      <c r="A35" s="239" t="s">
        <v>189</v>
      </c>
      <c r="B35" s="240" t="s">
        <v>6</v>
      </c>
      <c r="C35" s="241" t="s">
        <v>7</v>
      </c>
      <c r="D35" s="240" t="s">
        <v>8</v>
      </c>
      <c r="E35" s="240" t="s">
        <v>9</v>
      </c>
      <c r="F35" s="242" t="s">
        <v>10</v>
      </c>
      <c r="G35" s="243" t="s">
        <v>11</v>
      </c>
      <c r="H35" s="244" t="s">
        <v>12</v>
      </c>
      <c r="I35" s="242" t="s">
        <v>13</v>
      </c>
      <c r="J35" s="244" t="s">
        <v>14</v>
      </c>
      <c r="K35" s="244" t="s">
        <v>15</v>
      </c>
      <c r="L35" s="242" t="s">
        <v>190</v>
      </c>
      <c r="M35" s="294" t="s">
        <v>17</v>
      </c>
      <c r="N35" s="294" t="s">
        <v>18</v>
      </c>
      <c r="O35" s="244" t="s">
        <v>19</v>
      </c>
      <c r="P35" s="303" t="s">
        <v>20</v>
      </c>
      <c r="Q35" s="67">
        <f>P35/O35</f>
        <v/>
      </c>
      <c r="R35" s="198">
        <f>P35/W35</f>
        <v/>
      </c>
      <c r="S35" s="306">
        <f>O35-H35</f>
        <v/>
      </c>
      <c r="T35" s="306" t="s">
        <v>283</v>
      </c>
      <c r="U35" s="306" t="s">
        <v>266</v>
      </c>
      <c r="V35" s="306" t="n"/>
      <c r="W35" s="306">
        <f>AVERAGE(T35:V35)</f>
        <v/>
      </c>
      <c r="X35" s="306">
        <f>Y35/0.01</f>
        <v/>
      </c>
      <c r="Y35" s="306" t="n"/>
      <c r="Z35" s="134" t="n"/>
    </row>
    <row customHeight="1" ht="20.25" r="36" s="307" spans="1:28">
      <c r="A36" s="221" t="n">
        <v>40263</v>
      </c>
      <c r="B36" s="219" t="s">
        <v>191</v>
      </c>
      <c r="C36" s="219" t="s">
        <v>27</v>
      </c>
      <c r="D36" s="220" t="s">
        <v>28</v>
      </c>
      <c r="E36" s="220" t="n">
        <v>43223</v>
      </c>
      <c r="F36" s="26" t="s">
        <v>4</v>
      </c>
      <c r="G36" s="25" t="n">
        <v>41688</v>
      </c>
      <c r="H36" s="295" t="n">
        <v>27333.1</v>
      </c>
      <c r="I36" s="222" t="n">
        <v>0.08</v>
      </c>
      <c r="J36" s="5" t="n">
        <v>244.25</v>
      </c>
      <c r="K36" s="5" t="n">
        <v>42.37</v>
      </c>
      <c r="L36" s="220" t="n">
        <v>219</v>
      </c>
      <c r="M36" s="25" t="n">
        <v>42346</v>
      </c>
      <c r="N36" s="25" t="n">
        <v>42370</v>
      </c>
      <c r="O36" s="295" t="n">
        <v>35400</v>
      </c>
      <c r="P36" s="28" t="n">
        <v>22550</v>
      </c>
      <c r="Q36" s="67">
        <f>P36/O36</f>
        <v/>
      </c>
      <c r="R36" s="198">
        <f>P36/W36</f>
        <v/>
      </c>
      <c r="S36" s="306">
        <f>O36-H36</f>
        <v/>
      </c>
      <c r="T36" s="306" t="s">
        <v>302</v>
      </c>
      <c r="U36" s="306" t="s">
        <v>303</v>
      </c>
      <c r="V36" s="306" t="n"/>
      <c r="W36" s="306">
        <f>AVERAGE(T36:V36)</f>
        <v/>
      </c>
      <c r="X36" s="306">
        <f>Y36/0.01</f>
        <v/>
      </c>
      <c r="Y36" s="306" t="n"/>
      <c r="Z36" s="141" t="n"/>
    </row>
    <row customFormat="1" customHeight="1" ht="20.25" r="37" s="23" spans="1:28">
      <c r="A37" s="221" t="n">
        <v>40601</v>
      </c>
      <c r="B37" s="219" t="s">
        <v>192</v>
      </c>
      <c r="C37" s="219" t="s">
        <v>56</v>
      </c>
      <c r="D37" s="220" t="s">
        <v>28</v>
      </c>
      <c r="E37" s="220" t="n">
        <v>45214</v>
      </c>
      <c r="F37" s="26" t="s">
        <v>4</v>
      </c>
      <c r="G37" s="25" t="n">
        <v>41688</v>
      </c>
      <c r="H37" s="295" t="n">
        <v>32908.42</v>
      </c>
      <c r="I37" s="222" t="n">
        <v>0.08</v>
      </c>
      <c r="J37" s="5" t="n">
        <v>285.44</v>
      </c>
      <c r="K37" s="5" t="n">
        <v>65.8</v>
      </c>
      <c r="L37" s="220" t="n">
        <v>222</v>
      </c>
      <c r="M37" s="25" t="n">
        <v>42374</v>
      </c>
      <c r="N37" s="25" t="n">
        <v>42309</v>
      </c>
      <c r="O37" s="295" t="n">
        <v>26500</v>
      </c>
      <c r="P37" s="28" t="n">
        <v>21860</v>
      </c>
      <c r="Q37" s="67">
        <f>P37/O37</f>
        <v/>
      </c>
      <c r="R37" s="198">
        <f>P37/W37</f>
        <v/>
      </c>
      <c r="S37" s="306">
        <f>O37-H37</f>
        <v/>
      </c>
      <c r="T37" s="306" t="s">
        <v>304</v>
      </c>
      <c r="U37" s="306" t="s">
        <v>299</v>
      </c>
      <c r="V37" s="306" t="n"/>
      <c r="W37" s="306">
        <f>AVERAGE(T37:V37)</f>
        <v/>
      </c>
      <c r="X37" s="306">
        <f>Y37/0.01</f>
        <v/>
      </c>
      <c r="Y37" s="306" t="n"/>
      <c r="Z37" s="134" t="n"/>
      <c r="AA37" s="22" t="n"/>
      <c r="AB37" s="22" t="n"/>
    </row>
    <row customFormat="1" customHeight="1" ht="20.25" r="38" s="22" spans="1:28">
      <c r="A38" s="221" t="n">
        <v>41698</v>
      </c>
      <c r="B38" s="219" t="s">
        <v>193</v>
      </c>
      <c r="C38" s="219" t="s">
        <v>56</v>
      </c>
      <c r="D38" s="220" t="s">
        <v>28</v>
      </c>
      <c r="E38" s="220" t="n">
        <v>45205</v>
      </c>
      <c r="F38" s="26" t="s">
        <v>4</v>
      </c>
      <c r="G38" s="25" t="n">
        <v>41782</v>
      </c>
      <c r="H38" s="295" t="n">
        <v>36763.38</v>
      </c>
      <c r="I38" s="222" t="n">
        <v>0.08</v>
      </c>
      <c r="J38" s="5" t="n">
        <v>317.85</v>
      </c>
      <c r="K38" s="5" t="n">
        <v>536.6799999999999</v>
      </c>
      <c r="L38" s="220" t="n">
        <v>223</v>
      </c>
      <c r="M38" s="25" t="n">
        <v>42359</v>
      </c>
      <c r="N38" s="25" t="n">
        <v>42370</v>
      </c>
      <c r="O38" s="295" t="n">
        <v>38000</v>
      </c>
      <c r="P38" s="28" t="n">
        <v>30330</v>
      </c>
      <c r="Q38" s="67">
        <f>P38/O38</f>
        <v/>
      </c>
      <c r="R38" s="198">
        <f>P38/W38</f>
        <v/>
      </c>
      <c r="S38" s="306">
        <f>O38-H38</f>
        <v/>
      </c>
      <c r="T38" s="306" t="s">
        <v>305</v>
      </c>
      <c r="U38" s="306" t="s">
        <v>306</v>
      </c>
      <c r="V38" s="306" t="n"/>
      <c r="W38" s="306">
        <f>AVERAGE(T38:V38)</f>
        <v/>
      </c>
      <c r="X38" s="306">
        <f>Y38/0.01</f>
        <v/>
      </c>
      <c r="Y38" s="306" t="n"/>
      <c r="Z38" s="134" t="n"/>
      <c r="AA38" s="23" t="n"/>
      <c r="AB38" s="23" t="n"/>
    </row>
    <row customFormat="1" customHeight="1" ht="20.25" r="39" s="22" spans="1:28">
      <c r="A39" s="212" t="n">
        <v>55169</v>
      </c>
      <c r="B39" s="216" t="s">
        <v>194</v>
      </c>
      <c r="C39" s="216" t="s">
        <v>195</v>
      </c>
      <c r="D39" s="245" t="s">
        <v>33</v>
      </c>
      <c r="E39" s="245" t="n">
        <v>32926</v>
      </c>
      <c r="F39" s="245" t="s">
        <v>196</v>
      </c>
      <c r="G39" s="246" t="n">
        <v>41729</v>
      </c>
      <c r="H39" s="247" t="n">
        <v>25452.86</v>
      </c>
      <c r="I39" s="248" t="n">
        <v>0.09</v>
      </c>
      <c r="J39" s="247" t="n">
        <v>300</v>
      </c>
      <c r="K39" s="247" t="n">
        <v>55</v>
      </c>
      <c r="L39" s="245" t="n">
        <v>146</v>
      </c>
      <c r="M39" s="246" t="n">
        <v>42375</v>
      </c>
      <c r="N39" s="246" t="n">
        <v>42401</v>
      </c>
      <c r="O39" s="295" t="n">
        <v>26000</v>
      </c>
      <c r="P39" s="20" t="n">
        <v>21000</v>
      </c>
      <c r="Q39" s="67">
        <f>P39/O39</f>
        <v/>
      </c>
      <c r="R39" s="198">
        <f>P39/W39</f>
        <v/>
      </c>
      <c r="S39" s="306">
        <f>O39-H39</f>
        <v/>
      </c>
      <c r="T39" s="306" t="s">
        <v>307</v>
      </c>
      <c r="U39" s="306" t="s">
        <v>308</v>
      </c>
      <c r="V39" s="306" t="n"/>
      <c r="W39" s="306">
        <f>AVERAGE(T39:V39)</f>
        <v/>
      </c>
      <c r="X39" s="306">
        <f>Y39/0.01</f>
        <v/>
      </c>
      <c r="Y39" s="306" t="n"/>
      <c r="Z39" s="134" t="n"/>
    </row>
    <row customFormat="1" customHeight="1" ht="40" r="40" s="145" spans="1:28">
      <c r="A40" s="212" t="n">
        <v>55229</v>
      </c>
      <c r="B40" s="216" t="s">
        <v>21</v>
      </c>
      <c r="C40" s="216" t="s">
        <v>22</v>
      </c>
      <c r="D40" s="245" t="s">
        <v>23</v>
      </c>
      <c r="E40" s="245" t="n">
        <v>18301</v>
      </c>
      <c r="F40" s="245" t="s">
        <v>4</v>
      </c>
      <c r="G40" s="246" t="n">
        <v>38370</v>
      </c>
      <c r="H40" s="247" t="n">
        <v>57756.85</v>
      </c>
      <c r="I40" s="249" t="n">
        <v>0.0809</v>
      </c>
      <c r="J40" s="250" t="n">
        <v>489.16</v>
      </c>
      <c r="K40" s="250" t="n">
        <v>0</v>
      </c>
      <c r="L40" s="245" t="n">
        <v>247</v>
      </c>
      <c r="M40" s="246" t="n">
        <v>42374</v>
      </c>
      <c r="N40" s="246" t="n">
        <v>42399</v>
      </c>
      <c r="O40" s="295" t="n">
        <v>61700</v>
      </c>
      <c r="P40" s="20" t="n">
        <v>47650</v>
      </c>
      <c r="Q40" s="67">
        <f>P40/O40</f>
        <v/>
      </c>
      <c r="R40" s="198">
        <f>P40/W40</f>
        <v/>
      </c>
      <c r="S40" s="191">
        <f>O40-H40</f>
        <v/>
      </c>
      <c r="T40" s="306" t="s">
        <v>309</v>
      </c>
      <c r="U40" s="306" t="s">
        <v>270</v>
      </c>
      <c r="V40" s="306" t="n"/>
      <c r="W40" s="306">
        <f>AVERAGE(T40:V40)</f>
        <v/>
      </c>
      <c r="X40" s="306">
        <f>Y40/0.01</f>
        <v/>
      </c>
      <c r="Y40" s="306" t="n"/>
      <c r="Z40" s="311" t="s">
        <v>25</v>
      </c>
    </row>
    <row customFormat="1" customHeight="1" ht="20.25" r="41" s="348" spans="1:28">
      <c r="A41" s="350" t="n">
        <v>48897</v>
      </c>
      <c r="B41" s="351" t="s">
        <v>136</v>
      </c>
      <c r="C41" s="351" t="s">
        <v>137</v>
      </c>
      <c r="D41" s="352" t="s">
        <v>65</v>
      </c>
      <c r="E41" s="352" t="n">
        <v>37748</v>
      </c>
      <c r="F41" s="352" t="s">
        <v>4</v>
      </c>
      <c r="G41" s="353" t="n">
        <v>40124</v>
      </c>
      <c r="H41" s="354" t="n">
        <v>17582.59</v>
      </c>
      <c r="I41" s="355" t="n">
        <v>0.0725</v>
      </c>
      <c r="J41" s="356" t="n">
        <v>258.99</v>
      </c>
      <c r="K41" s="356" t="n">
        <v>66.26000000000001</v>
      </c>
      <c r="L41" s="352" t="n">
        <v>81</v>
      </c>
      <c r="M41" s="353" t="n">
        <v>42374</v>
      </c>
      <c r="N41" s="353" t="n">
        <v>42345</v>
      </c>
      <c r="O41" s="183" t="n">
        <v>20000</v>
      </c>
      <c r="P41" s="157" t="n">
        <v>14065</v>
      </c>
      <c r="Q41" s="185">
        <f>P41/O41</f>
        <v/>
      </c>
      <c r="R41" s="185">
        <f>P41/W41</f>
        <v/>
      </c>
      <c r="S41" s="189">
        <f>O41-H41</f>
        <v/>
      </c>
      <c r="T41" s="189" t="s">
        <v>310</v>
      </c>
      <c r="U41" s="189" t="s">
        <v>311</v>
      </c>
      <c r="V41" s="189" t="n">
        <v>41000</v>
      </c>
      <c r="W41" s="189">
        <f>AVERAGE(T41:V41)</f>
        <v/>
      </c>
      <c r="X41" s="189">
        <f>Y41/0.01</f>
        <v/>
      </c>
      <c r="Y41" s="189" t="n">
        <v>650</v>
      </c>
      <c r="Z41" s="357" t="s">
        <v>138</v>
      </c>
      <c r="AA41" s="188" t="n"/>
      <c r="AB41" s="188" t="n"/>
    </row>
    <row customFormat="1" customHeight="1" ht="47" r="42" s="22" spans="1:28">
      <c r="A42" s="221" t="n">
        <v>40576</v>
      </c>
      <c r="B42" s="219" t="s">
        <v>169</v>
      </c>
      <c r="C42" s="219" t="s">
        <v>56</v>
      </c>
      <c r="D42" s="220" t="s">
        <v>28</v>
      </c>
      <c r="E42" s="220" t="n">
        <v>45205</v>
      </c>
      <c r="F42" s="26" t="s">
        <v>4</v>
      </c>
      <c r="G42" s="25" t="n">
        <v>41667</v>
      </c>
      <c r="H42" s="295" t="n">
        <v>35234.26</v>
      </c>
      <c r="I42" s="222" t="n">
        <v>0.08</v>
      </c>
      <c r="J42" s="5" t="n">
        <v>309.06</v>
      </c>
      <c r="K42" s="5" t="n">
        <v>138.81</v>
      </c>
      <c r="L42" s="220" t="n">
        <v>218</v>
      </c>
      <c r="M42" s="25" t="n">
        <v>42375</v>
      </c>
      <c r="N42" s="25" t="n">
        <v>42401</v>
      </c>
      <c r="O42" s="295" t="n">
        <v>48900</v>
      </c>
      <c r="P42" s="28" t="n">
        <v>29070</v>
      </c>
      <c r="Q42" s="67">
        <f>P42/O42</f>
        <v/>
      </c>
      <c r="R42" s="198">
        <f>P42/W42</f>
        <v/>
      </c>
      <c r="S42" s="306">
        <f>O42-H42</f>
        <v/>
      </c>
      <c r="T42" s="306" t="s">
        <v>312</v>
      </c>
      <c r="U42" s="306" t="s">
        <v>313</v>
      </c>
      <c r="V42" s="306" t="n">
        <v>60000</v>
      </c>
      <c r="W42" s="306">
        <f>AVERAGE(T42:V42)</f>
        <v/>
      </c>
      <c r="X42" s="306" t="n">
        <v>825</v>
      </c>
      <c r="Y42" s="306" t="n"/>
      <c r="Z42" s="134" t="s">
        <v>170</v>
      </c>
    </row>
    <row customFormat="1" customHeight="1" ht="20.25" r="43" s="22" spans="1:28">
      <c r="A43" s="212" t="n">
        <v>40550</v>
      </c>
      <c r="B43" s="216" t="s">
        <v>55</v>
      </c>
      <c r="C43" s="216" t="s">
        <v>56</v>
      </c>
      <c r="D43" s="245" t="s">
        <v>28</v>
      </c>
      <c r="E43" s="245" t="n">
        <v>45207</v>
      </c>
      <c r="F43" s="245" t="s">
        <v>4</v>
      </c>
      <c r="G43" s="246" t="n">
        <v>41813</v>
      </c>
      <c r="H43" s="247" t="n">
        <v>33020.81</v>
      </c>
      <c r="I43" s="249" t="n">
        <v>0.08</v>
      </c>
      <c r="J43" s="250" t="n">
        <v>285.44</v>
      </c>
      <c r="K43" s="250" t="n">
        <v>79.33</v>
      </c>
      <c r="L43" s="245" t="n">
        <v>223</v>
      </c>
      <c r="M43" s="246" t="n">
        <v>42369</v>
      </c>
      <c r="N43" s="246" t="n">
        <v>42401</v>
      </c>
      <c r="O43" s="5" t="n">
        <v>28900</v>
      </c>
      <c r="P43" s="20" t="n">
        <v>23840</v>
      </c>
      <c r="Q43" s="67">
        <f>P43/O43</f>
        <v/>
      </c>
      <c r="R43" s="198">
        <f>P43/W43</f>
        <v/>
      </c>
      <c r="S43" s="306">
        <f>O43-H43</f>
        <v/>
      </c>
      <c r="T43" s="306" t="s">
        <v>314</v>
      </c>
      <c r="U43" s="306" t="s">
        <v>315</v>
      </c>
      <c r="V43" s="306" t="n"/>
      <c r="W43" s="306">
        <f>AVERAGE(T43:V43)</f>
        <v/>
      </c>
      <c r="X43" s="306">
        <f>Y43/0.01</f>
        <v/>
      </c>
      <c r="Y43" s="306" t="n"/>
      <c r="Z43" s="134" t="s">
        <v>57</v>
      </c>
    </row>
    <row customFormat="1" customHeight="1" ht="20.25" r="44" s="22" spans="1:28">
      <c r="A44" s="257" t="n">
        <v>42073</v>
      </c>
      <c r="B44" s="263" t="s">
        <v>197</v>
      </c>
      <c r="C44" s="263" t="s">
        <v>56</v>
      </c>
      <c r="D44" s="254" t="s">
        <v>28</v>
      </c>
      <c r="E44" s="254" t="n">
        <v>45227</v>
      </c>
      <c r="F44" s="254" t="s">
        <v>4</v>
      </c>
      <c r="G44" s="25" t="n">
        <v>41892</v>
      </c>
      <c r="H44" s="295" t="n">
        <v>41049.91</v>
      </c>
      <c r="I44" s="222" t="n">
        <v>0.08</v>
      </c>
      <c r="J44" s="295" t="n">
        <v>366.99</v>
      </c>
      <c r="K44" s="295" t="n">
        <v>122.19</v>
      </c>
      <c r="L44" s="220" t="n">
        <v>207</v>
      </c>
      <c r="M44" s="25" t="n">
        <v>42332</v>
      </c>
      <c r="N44" s="25" t="n">
        <v>42339</v>
      </c>
      <c r="O44" s="295" t="n">
        <v>45000</v>
      </c>
      <c r="P44" s="28" t="n">
        <v>33865</v>
      </c>
      <c r="Q44" s="67">
        <f>P44/O44</f>
        <v/>
      </c>
      <c r="R44" s="198">
        <f>P44/W44</f>
        <v/>
      </c>
      <c r="S44" s="306">
        <f>O44-H44</f>
        <v/>
      </c>
      <c r="T44" s="306" t="s">
        <v>316</v>
      </c>
      <c r="U44" s="306" t="s">
        <v>317</v>
      </c>
      <c r="V44" s="306" t="n"/>
      <c r="W44" s="306">
        <f>AVERAGE(T44:V44)</f>
        <v/>
      </c>
      <c r="X44" s="306">
        <f>Y44/0.01</f>
        <v/>
      </c>
      <c r="Y44" s="306" t="n"/>
      <c r="Z44" s="134" t="n"/>
    </row>
    <row customFormat="1" customHeight="1" ht="20.25" r="45" s="22" spans="1:28">
      <c r="A45" s="257" t="n">
        <v>48175</v>
      </c>
      <c r="B45" s="263" t="s">
        <v>198</v>
      </c>
      <c r="C45" s="263" t="s">
        <v>199</v>
      </c>
      <c r="D45" s="254" t="s">
        <v>28</v>
      </c>
      <c r="E45" s="254" t="n">
        <v>44306</v>
      </c>
      <c r="F45" s="254" t="s">
        <v>4</v>
      </c>
      <c r="G45" s="25" t="n">
        <v>42016</v>
      </c>
      <c r="H45" s="295" t="n">
        <v>51523.57</v>
      </c>
      <c r="I45" s="222" t="n">
        <v>0.08</v>
      </c>
      <c r="J45" s="295" t="n">
        <v>437.04</v>
      </c>
      <c r="K45" s="295" t="n">
        <v>60.23</v>
      </c>
      <c r="L45" s="220" t="n">
        <v>232</v>
      </c>
      <c r="M45" s="25" t="n">
        <v>42366</v>
      </c>
      <c r="N45" s="25" t="n">
        <v>42339</v>
      </c>
      <c r="O45" s="295" t="n">
        <v>59000</v>
      </c>
      <c r="P45" s="28" t="n">
        <v>41290</v>
      </c>
      <c r="Q45" s="67">
        <f>P45/O45</f>
        <v/>
      </c>
      <c r="R45" s="198">
        <f>P45/W45</f>
        <v/>
      </c>
      <c r="S45" s="306">
        <f>O45-H45</f>
        <v/>
      </c>
      <c r="T45" s="306" t="s">
        <v>318</v>
      </c>
      <c r="U45" s="306" t="s">
        <v>308</v>
      </c>
      <c r="V45" s="306" t="n"/>
      <c r="W45" s="306">
        <f>AVERAGE(T45:V45)</f>
        <v/>
      </c>
      <c r="X45" s="306">
        <f>Y45/0.01</f>
        <v/>
      </c>
      <c r="Y45" s="306" t="n"/>
      <c r="Z45" s="141" t="n"/>
    </row>
    <row customFormat="1" customHeight="1" ht="20.25" r="46" s="348" spans="1:28">
      <c r="A46" s="328" t="n">
        <v>50044</v>
      </c>
      <c r="B46" s="358" t="s">
        <v>122</v>
      </c>
      <c r="C46" s="358" t="s">
        <v>123</v>
      </c>
      <c r="D46" s="359" t="s">
        <v>124</v>
      </c>
      <c r="E46" s="359" t="s">
        <v>125</v>
      </c>
      <c r="F46" s="359" t="s">
        <v>4</v>
      </c>
      <c r="G46" s="353" t="n">
        <v>40644</v>
      </c>
      <c r="H46" s="354" t="n">
        <v>23384.05</v>
      </c>
      <c r="I46" s="355" t="n">
        <v>0.09</v>
      </c>
      <c r="J46" s="354" t="n">
        <v>325</v>
      </c>
      <c r="K46" s="354" t="n">
        <v>123.45</v>
      </c>
      <c r="L46" s="352" t="n">
        <v>106</v>
      </c>
      <c r="M46" s="353" t="n">
        <v>42353</v>
      </c>
      <c r="N46" s="353" t="n">
        <v>42370</v>
      </c>
      <c r="O46" s="332" t="n">
        <v>33000</v>
      </c>
      <c r="P46" s="157" t="n">
        <v>19290</v>
      </c>
      <c r="Q46" s="185">
        <f>P46/O46</f>
        <v/>
      </c>
      <c r="R46" s="185">
        <f>P46/W46</f>
        <v/>
      </c>
      <c r="S46" s="189">
        <f>O46-H46</f>
        <v/>
      </c>
      <c r="T46" s="189" t="s">
        <v>319</v>
      </c>
      <c r="U46" s="189" t="s">
        <v>266</v>
      </c>
      <c r="V46" s="189" t="n">
        <v>57000</v>
      </c>
      <c r="W46" s="189">
        <f>AVERAGE(T46:V46)</f>
        <v/>
      </c>
      <c r="X46" s="189">
        <f>Y46/0.01</f>
        <v/>
      </c>
      <c r="Y46" s="189" t="n">
        <v>750</v>
      </c>
      <c r="Z46" s="186" t="s">
        <v>126</v>
      </c>
    </row>
    <row customFormat="1" customHeight="1" ht="20.25" r="47" s="22" spans="1:28">
      <c r="A47" s="231" t="n">
        <v>2015091803</v>
      </c>
      <c r="B47" s="255" t="s">
        <v>31</v>
      </c>
      <c r="C47" s="255" t="s">
        <v>32</v>
      </c>
      <c r="D47" s="256" t="s">
        <v>33</v>
      </c>
      <c r="E47" s="256" t="s">
        <v>34</v>
      </c>
      <c r="F47" s="26" t="s">
        <v>4</v>
      </c>
      <c r="G47" s="25" t="n">
        <v>40644</v>
      </c>
      <c r="H47" s="247" t="n">
        <v>29295.96</v>
      </c>
      <c r="I47" s="249" t="n">
        <v>0.09</v>
      </c>
      <c r="J47" s="247" t="n">
        <v>490.3</v>
      </c>
      <c r="K47" s="247" t="n">
        <v>115.3</v>
      </c>
      <c r="L47" s="245" t="n">
        <v>308</v>
      </c>
      <c r="M47" s="246" t="n">
        <v>42352</v>
      </c>
      <c r="N47" s="246" t="n">
        <v>42370</v>
      </c>
      <c r="O47" s="295" t="n">
        <v>35000</v>
      </c>
      <c r="P47" s="20" t="n">
        <v>24170</v>
      </c>
      <c r="Q47" s="67">
        <f>P47/O47</f>
        <v/>
      </c>
      <c r="R47" s="198">
        <f>P47/W47</f>
        <v/>
      </c>
      <c r="S47" s="306">
        <f>O47-H47</f>
        <v/>
      </c>
      <c r="T47" s="306" t="s">
        <v>320</v>
      </c>
      <c r="U47" s="306" t="s">
        <v>315</v>
      </c>
      <c r="V47" s="306" t="n">
        <v>67000</v>
      </c>
      <c r="W47" s="306">
        <f>AVERAGE(T47:V47)</f>
        <v/>
      </c>
      <c r="X47" s="306">
        <f>Y47/0.01</f>
        <v/>
      </c>
      <c r="Y47" s="306" t="n">
        <v>800</v>
      </c>
      <c r="Z47" s="134" t="s">
        <v>35</v>
      </c>
    </row>
    <row customFormat="1" customHeight="1" ht="20.25" r="48" s="22" spans="1:28">
      <c r="A48" s="257" t="n">
        <v>40572</v>
      </c>
      <c r="B48" s="263" t="s">
        <v>200</v>
      </c>
      <c r="C48" s="263" t="s">
        <v>56</v>
      </c>
      <c r="D48" s="254" t="s">
        <v>28</v>
      </c>
      <c r="E48" s="254" t="n">
        <v>45204</v>
      </c>
      <c r="F48" s="254" t="s">
        <v>4</v>
      </c>
      <c r="G48" s="25" t="n">
        <v>41865</v>
      </c>
      <c r="H48" s="295" t="n">
        <v>32299.23</v>
      </c>
      <c r="I48" s="222" t="n">
        <v>0.08</v>
      </c>
      <c r="J48" s="295" t="n">
        <v>278.12</v>
      </c>
      <c r="K48" s="295" t="n">
        <v>113.06</v>
      </c>
      <c r="L48" s="220" t="n">
        <v>227</v>
      </c>
      <c r="M48" s="25" t="n">
        <v>42374</v>
      </c>
      <c r="N48" s="25" t="n">
        <v>42401</v>
      </c>
      <c r="O48" s="295" t="n">
        <v>39000</v>
      </c>
      <c r="P48" s="28" t="n">
        <v>25195</v>
      </c>
      <c r="Q48" s="67">
        <f>P48/O48</f>
        <v/>
      </c>
      <c r="R48" s="198">
        <f>P48/W48</f>
        <v/>
      </c>
      <c r="S48" s="306">
        <f>O48-H48</f>
        <v/>
      </c>
      <c r="T48" s="306" t="s">
        <v>321</v>
      </c>
      <c r="U48" s="306" t="s">
        <v>322</v>
      </c>
      <c r="V48" s="306" t="n"/>
      <c r="W48" s="306">
        <f>AVERAGE(T48:V48)</f>
        <v/>
      </c>
      <c r="X48" s="306">
        <f>Y48/0.01</f>
        <v/>
      </c>
      <c r="Y48" s="306" t="n"/>
      <c r="Z48" s="141" t="n"/>
    </row>
    <row customFormat="1" customHeight="1" ht="20.25" r="49" s="22" spans="1:28">
      <c r="A49" s="231" t="n">
        <v>55191</v>
      </c>
      <c r="B49" s="258" t="s">
        <v>201</v>
      </c>
      <c r="C49" s="259" t="s">
        <v>202</v>
      </c>
      <c r="D49" s="260" t="s">
        <v>93</v>
      </c>
      <c r="E49" s="260" t="s">
        <v>203</v>
      </c>
      <c r="F49" s="26" t="s">
        <v>4</v>
      </c>
      <c r="G49" s="25" t="n">
        <v>41562</v>
      </c>
      <c r="H49" s="295" t="n">
        <v>23347.61</v>
      </c>
      <c r="I49" s="249" t="n">
        <v>0.09</v>
      </c>
      <c r="J49" s="295" t="n">
        <v>300</v>
      </c>
      <c r="K49" s="295" t="n">
        <v>210</v>
      </c>
      <c r="L49" s="220" t="n">
        <v>118</v>
      </c>
      <c r="M49" s="25" t="n">
        <v>42355</v>
      </c>
      <c r="N49" s="25" t="n">
        <v>42309</v>
      </c>
      <c r="O49" s="295" t="n">
        <v>33000</v>
      </c>
      <c r="P49" s="28" t="n">
        <v>15255</v>
      </c>
      <c r="Q49" s="67">
        <f>P49/O49</f>
        <v/>
      </c>
      <c r="R49" s="198">
        <f>P49/W49</f>
        <v/>
      </c>
      <c r="S49" s="306">
        <f>O49-H49</f>
        <v/>
      </c>
      <c r="T49" s="306" t="s">
        <v>323</v>
      </c>
      <c r="U49" s="306" t="s">
        <v>324</v>
      </c>
      <c r="V49" s="306" t="n"/>
      <c r="W49" s="306">
        <f>AVERAGE(T49:V49)</f>
        <v/>
      </c>
      <c r="X49" s="306">
        <f>Y49/0.01</f>
        <v/>
      </c>
      <c r="Y49" s="306" t="n"/>
      <c r="Z49" s="134" t="n"/>
    </row>
    <row customFormat="1" customHeight="1" ht="20.25" r="50" s="22" spans="1:28">
      <c r="A50" s="212" t="n">
        <v>9900019134</v>
      </c>
      <c r="B50" s="215" t="s">
        <v>204</v>
      </c>
      <c r="C50" s="216" t="s">
        <v>159</v>
      </c>
      <c r="D50" s="220" t="s">
        <v>2</v>
      </c>
      <c r="E50" s="220" t="n">
        <v>46403</v>
      </c>
      <c r="F50" s="220" t="s">
        <v>4</v>
      </c>
      <c r="G50" s="27" t="n">
        <v>39539</v>
      </c>
      <c r="H50" s="50" t="n">
        <v>20521.87</v>
      </c>
      <c r="I50" s="214" t="n">
        <v>0.11</v>
      </c>
      <c r="J50" s="15" t="n">
        <v>250</v>
      </c>
      <c r="K50" s="15" t="n">
        <v>0</v>
      </c>
      <c r="L50" s="26" t="n">
        <v>154</v>
      </c>
      <c r="M50" s="27" t="n">
        <v>42345</v>
      </c>
      <c r="N50" s="25" t="n">
        <v>42370</v>
      </c>
      <c r="O50" s="5" t="n">
        <v>22250</v>
      </c>
      <c r="P50" s="300" t="n">
        <v>16925</v>
      </c>
      <c r="Q50" s="67">
        <f>P50/O50</f>
        <v/>
      </c>
      <c r="R50" s="198">
        <f>P50/W50</f>
        <v/>
      </c>
      <c r="S50" s="306">
        <f>O50-H50</f>
        <v/>
      </c>
      <c r="T50" s="306" t="s">
        <v>325</v>
      </c>
      <c r="U50" s="306" t="s">
        <v>266</v>
      </c>
      <c r="V50" s="306" t="n"/>
      <c r="W50" s="306">
        <f>AVERAGE(T50:V50)</f>
        <v/>
      </c>
      <c r="X50" s="306">
        <f>Y50/0.01</f>
        <v/>
      </c>
      <c r="Y50" s="306" t="n"/>
      <c r="Z50" s="134" t="n"/>
    </row>
    <row customFormat="1" customHeight="1" ht="20.25" r="51" s="22" spans="1:28">
      <c r="A51" s="261" t="n">
        <v>2015100501</v>
      </c>
      <c r="B51" s="268" t="s">
        <v>205</v>
      </c>
      <c r="C51" s="263" t="s">
        <v>79</v>
      </c>
      <c r="D51" s="264" t="s">
        <v>38</v>
      </c>
      <c r="E51" s="264" t="s">
        <v>206</v>
      </c>
      <c r="F51" s="26" t="s">
        <v>4</v>
      </c>
      <c r="G51" s="25" t="n">
        <v>40483</v>
      </c>
      <c r="H51" s="295" t="n">
        <v>26635.05</v>
      </c>
      <c r="I51" s="222" t="n">
        <v>0.09</v>
      </c>
      <c r="J51" s="5" t="n">
        <v>466</v>
      </c>
      <c r="K51" s="5" t="n">
        <v>116</v>
      </c>
      <c r="L51" s="220" t="n">
        <v>75</v>
      </c>
      <c r="M51" s="25" t="n">
        <v>42368</v>
      </c>
      <c r="N51" s="25" t="n">
        <v>42309</v>
      </c>
      <c r="O51" s="295" t="n">
        <v>55000</v>
      </c>
      <c r="P51" s="28" t="n">
        <v>14650</v>
      </c>
      <c r="Q51" s="67">
        <f>P51/O51</f>
        <v/>
      </c>
      <c r="R51" s="198">
        <f>P51/W51</f>
        <v/>
      </c>
      <c r="S51" s="306">
        <f>O51-H51</f>
        <v/>
      </c>
      <c r="T51" s="306" t="s">
        <v>326</v>
      </c>
      <c r="U51" s="306" t="s">
        <v>327</v>
      </c>
      <c r="V51" s="306" t="n"/>
      <c r="W51" s="306">
        <f>AVERAGE(T51:V51)</f>
        <v/>
      </c>
      <c r="X51" s="306">
        <f>Y51/0.01</f>
        <v/>
      </c>
      <c r="Y51" s="306" t="n"/>
      <c r="Z51" s="141" t="n"/>
    </row>
    <row customFormat="1" customHeight="1" ht="20.25" r="52" s="22" spans="1:28">
      <c r="A52" s="265" t="n">
        <v>2015100503</v>
      </c>
      <c r="B52" s="266" t="s">
        <v>207</v>
      </c>
      <c r="C52" s="255" t="s">
        <v>208</v>
      </c>
      <c r="D52" s="267" t="s">
        <v>2</v>
      </c>
      <c r="E52" s="267" t="s">
        <v>209</v>
      </c>
      <c r="F52" s="26" t="s">
        <v>4</v>
      </c>
      <c r="G52" s="25" t="n">
        <v>40487</v>
      </c>
      <c r="H52" s="295" t="n">
        <v>30183.3</v>
      </c>
      <c r="I52" s="222" t="n">
        <v>0.09</v>
      </c>
      <c r="J52" s="5" t="n">
        <v>530</v>
      </c>
      <c r="K52" s="5" t="n">
        <v>130</v>
      </c>
      <c r="L52" s="220" t="n">
        <v>75</v>
      </c>
      <c r="M52" s="25" t="n">
        <v>42324</v>
      </c>
      <c r="N52" s="25" t="n">
        <v>42339</v>
      </c>
      <c r="O52" s="295" t="n">
        <v>59000</v>
      </c>
      <c r="P52" s="28" t="n">
        <v>22635</v>
      </c>
      <c r="Q52" s="67">
        <f>P52/O52</f>
        <v/>
      </c>
      <c r="R52" s="198">
        <f>P52/W52</f>
        <v/>
      </c>
      <c r="S52" s="306">
        <f>O52-H52</f>
        <v/>
      </c>
      <c r="T52" s="306" t="s">
        <v>328</v>
      </c>
      <c r="U52" s="306" t="s">
        <v>266</v>
      </c>
      <c r="V52" s="306" t="n"/>
      <c r="W52" s="306">
        <f>AVERAGE(T52:V52)</f>
        <v/>
      </c>
      <c r="X52" s="306">
        <f>Y52/0.01</f>
        <v/>
      </c>
      <c r="Y52" s="306" t="n"/>
      <c r="Z52" s="141" t="n"/>
    </row>
    <row customFormat="1" customHeight="1" ht="20.25" r="53" s="22" spans="1:28">
      <c r="A53" s="265" t="n">
        <v>2015100504</v>
      </c>
      <c r="B53" s="266" t="s">
        <v>139</v>
      </c>
      <c r="C53" s="255" t="s">
        <v>140</v>
      </c>
      <c r="D53" s="267" t="s">
        <v>141</v>
      </c>
      <c r="E53" s="267" t="s">
        <v>142</v>
      </c>
      <c r="F53" s="26" t="s">
        <v>4</v>
      </c>
      <c r="G53" s="25" t="n">
        <v>40664</v>
      </c>
      <c r="H53" s="247" t="n">
        <v>19450.39</v>
      </c>
      <c r="I53" s="248" t="n">
        <v>0.09</v>
      </c>
      <c r="J53" s="247" t="n">
        <v>605</v>
      </c>
      <c r="K53" s="247" t="n">
        <v>280</v>
      </c>
      <c r="L53" s="245" t="n">
        <v>37</v>
      </c>
      <c r="M53" s="246" t="n">
        <v>42360</v>
      </c>
      <c r="N53" s="246" t="n">
        <v>42370</v>
      </c>
      <c r="O53" s="295" t="n">
        <v>72000</v>
      </c>
      <c r="P53" s="20" t="n">
        <v>16045</v>
      </c>
      <c r="Q53" s="67">
        <f>P53/O53</f>
        <v/>
      </c>
      <c r="R53" s="198">
        <f>P53/W53</f>
        <v/>
      </c>
      <c r="S53" s="306">
        <f>O53-H53</f>
        <v/>
      </c>
      <c r="T53" s="306" t="s">
        <v>329</v>
      </c>
      <c r="U53" s="306" t="s">
        <v>266</v>
      </c>
      <c r="V53" s="306" t="n">
        <v>61000</v>
      </c>
      <c r="W53" s="306">
        <f>AVERAGE(T53:V53)</f>
        <v/>
      </c>
      <c r="X53" s="306">
        <f>Y53/0.01</f>
        <v/>
      </c>
      <c r="Y53" s="306" t="n">
        <v>1200</v>
      </c>
      <c r="Z53" s="141" t="s">
        <v>143</v>
      </c>
    </row>
    <row customFormat="1" customHeight="1" ht="20.25" r="54" s="22" spans="1:28">
      <c r="A54" s="231" t="n">
        <v>2015090836</v>
      </c>
      <c r="B54" s="225" t="s">
        <v>210</v>
      </c>
      <c r="C54" s="226" t="s">
        <v>211</v>
      </c>
      <c r="D54" s="227" t="s">
        <v>74</v>
      </c>
      <c r="E54" s="227" t="n">
        <v>14613</v>
      </c>
      <c r="F54" s="26" t="s">
        <v>4</v>
      </c>
      <c r="G54" s="27" t="n">
        <v>38288</v>
      </c>
      <c r="H54" s="50" t="n">
        <v>32689.71</v>
      </c>
      <c r="I54" s="214" t="n">
        <v>0.08999</v>
      </c>
      <c r="J54" s="15" t="n">
        <v>300.72</v>
      </c>
      <c r="K54" s="15" t="n">
        <v>0</v>
      </c>
      <c r="L54" s="26" t="n">
        <v>229</v>
      </c>
      <c r="M54" s="27" t="n">
        <v>42352</v>
      </c>
      <c r="N54" s="25" t="n">
        <v>42401</v>
      </c>
      <c r="O54" s="295" t="n">
        <v>35000</v>
      </c>
      <c r="P54" s="20" t="n">
        <v>26150</v>
      </c>
      <c r="Q54" s="67">
        <f>P54/O54</f>
        <v/>
      </c>
      <c r="R54" s="198">
        <f>P54/W54</f>
        <v/>
      </c>
      <c r="S54" s="306">
        <f>O54-H54</f>
        <v/>
      </c>
      <c r="T54" s="306" t="s">
        <v>330</v>
      </c>
      <c r="U54" s="306" t="s">
        <v>266</v>
      </c>
      <c r="V54" s="306" t="n"/>
      <c r="W54" s="306">
        <f>AVERAGE(T54:V54)</f>
        <v/>
      </c>
      <c r="X54" s="306">
        <f>Y54/0.01</f>
        <v/>
      </c>
      <c r="Y54" s="306" t="n"/>
      <c r="Z54" s="142" t="n"/>
    </row>
    <row customFormat="1" customHeight="1" ht="20.25" r="55" s="188" spans="1:28">
      <c r="A55" s="328" t="n">
        <v>39861</v>
      </c>
      <c r="B55" s="329" t="s">
        <v>110</v>
      </c>
      <c r="C55" s="329" t="s">
        <v>111</v>
      </c>
      <c r="D55" s="148" t="s">
        <v>112</v>
      </c>
      <c r="E55" s="148" t="n">
        <v>50126</v>
      </c>
      <c r="F55" s="148" t="s">
        <v>4</v>
      </c>
      <c r="G55" s="155" t="n">
        <v>42076</v>
      </c>
      <c r="H55" s="332" t="n">
        <v>52965.56</v>
      </c>
      <c r="I55" s="330" t="n">
        <v>0.09</v>
      </c>
      <c r="J55" s="183" t="n">
        <v>482.48</v>
      </c>
      <c r="K55" s="183" t="n">
        <v>77.5</v>
      </c>
      <c r="L55" s="148" t="n">
        <v>232</v>
      </c>
      <c r="M55" s="155" t="n">
        <v>42356</v>
      </c>
      <c r="N55" s="155" t="n">
        <v>42370</v>
      </c>
      <c r="O55" s="332" t="n">
        <v>61000</v>
      </c>
      <c r="P55" s="360" t="n">
        <v>43695</v>
      </c>
      <c r="Q55" s="185">
        <f>P55/O55</f>
        <v/>
      </c>
      <c r="R55" s="185">
        <f>P55/W55</f>
        <v/>
      </c>
      <c r="S55" s="189">
        <f>O55-H55</f>
        <v/>
      </c>
      <c r="T55" s="361" t="s">
        <v>331</v>
      </c>
      <c r="U55" s="361" t="s">
        <v>266</v>
      </c>
      <c r="V55" s="361" t="n">
        <v>45000</v>
      </c>
      <c r="W55" s="189">
        <f>AVERAGE(T55:V55)</f>
        <v/>
      </c>
      <c r="X55" s="189">
        <f>Y55/0.01</f>
        <v/>
      </c>
      <c r="Y55" s="361" t="n">
        <v>750</v>
      </c>
      <c r="Z55" s="362" t="s">
        <v>113</v>
      </c>
    </row>
    <row customHeight="1" ht="20.25" r="56" s="307" spans="1:28">
      <c r="A56" s="257" t="n">
        <v>39588</v>
      </c>
      <c r="B56" s="263" t="s">
        <v>212</v>
      </c>
      <c r="C56" s="263" t="s">
        <v>27</v>
      </c>
      <c r="D56" s="254" t="s">
        <v>28</v>
      </c>
      <c r="E56" s="254" t="n">
        <v>43223</v>
      </c>
      <c r="F56" s="26" t="s">
        <v>4</v>
      </c>
      <c r="G56" s="25" t="n">
        <v>41689</v>
      </c>
      <c r="H56" s="247" t="n">
        <v>36623.33</v>
      </c>
      <c r="I56" s="249" t="n">
        <v>0.08</v>
      </c>
      <c r="J56" s="250" t="n">
        <v>317.85</v>
      </c>
      <c r="K56" s="250" t="n">
        <v>179.6</v>
      </c>
      <c r="L56" s="245" t="n">
        <v>219</v>
      </c>
      <c r="M56" s="246" t="n">
        <v>42353</v>
      </c>
      <c r="N56" s="246" t="n">
        <v>42370</v>
      </c>
      <c r="O56" s="5" t="n">
        <v>67500</v>
      </c>
      <c r="P56" s="20" t="n">
        <v>30210</v>
      </c>
      <c r="Q56" s="67">
        <f>P56/O56</f>
        <v/>
      </c>
      <c r="R56" s="198">
        <f>P56/W56</f>
        <v/>
      </c>
      <c r="S56" s="306">
        <f>O56-H56</f>
        <v/>
      </c>
      <c r="T56" t="s">
        <v>332</v>
      </c>
      <c r="U56" t="s">
        <v>333</v>
      </c>
      <c r="W56" s="306">
        <f>AVERAGE(T56:V56)</f>
        <v/>
      </c>
      <c r="X56" s="306">
        <f>Y56/0.01</f>
        <v/>
      </c>
    </row>
    <row customHeight="1" ht="20.25" r="57" s="307" spans="1:28">
      <c r="A57" s="257" t="n">
        <v>40644</v>
      </c>
      <c r="B57" s="263" t="s">
        <v>213</v>
      </c>
      <c r="C57" s="263" t="s">
        <v>27</v>
      </c>
      <c r="D57" s="254" t="s">
        <v>28</v>
      </c>
      <c r="E57" s="254" t="n">
        <v>43204</v>
      </c>
      <c r="F57" s="26" t="s">
        <v>4</v>
      </c>
      <c r="G57" s="25" t="n">
        <v>41711</v>
      </c>
      <c r="H57" s="247" t="n">
        <v>28355.06</v>
      </c>
      <c r="I57" s="249" t="n">
        <v>0.08</v>
      </c>
      <c r="J57" s="247" t="n">
        <v>244.66</v>
      </c>
      <c r="K57" s="247" t="n">
        <v>140.11</v>
      </c>
      <c r="L57" s="245" t="n">
        <v>221</v>
      </c>
      <c r="M57" s="246" t="n">
        <v>42345</v>
      </c>
      <c r="N57" s="246" t="n">
        <v>42339</v>
      </c>
      <c r="O57" s="295" t="n">
        <v>33000</v>
      </c>
      <c r="P57" s="20" t="n">
        <v>22685</v>
      </c>
      <c r="Q57" s="67">
        <f>P57/O57</f>
        <v/>
      </c>
      <c r="R57" s="198">
        <f>P57/W57</f>
        <v/>
      </c>
      <c r="S57" s="306">
        <f>O57-H57</f>
        <v/>
      </c>
      <c r="T57" t="s">
        <v>334</v>
      </c>
      <c r="U57" t="s">
        <v>324</v>
      </c>
      <c r="W57" s="306">
        <f>AVERAGE(T57:V57)</f>
        <v/>
      </c>
      <c r="X57" s="306">
        <f>Y57/0.01</f>
        <v/>
      </c>
    </row>
    <row customHeight="1" ht="20.25" r="58" s="307" spans="1:28">
      <c r="A58" s="257" t="n">
        <v>41329</v>
      </c>
      <c r="B58" s="263" t="s">
        <v>214</v>
      </c>
      <c r="C58" s="263" t="s">
        <v>27</v>
      </c>
      <c r="D58" s="254" t="s">
        <v>28</v>
      </c>
      <c r="E58" s="254" t="n">
        <v>43206</v>
      </c>
      <c r="F58" s="26" t="s">
        <v>4</v>
      </c>
      <c r="G58" s="25" t="n">
        <v>41688</v>
      </c>
      <c r="H58" s="247" t="n">
        <v>56208.64</v>
      </c>
      <c r="I58" s="249" t="n">
        <v>0.08</v>
      </c>
      <c r="J58" s="247" t="n">
        <v>489.32</v>
      </c>
      <c r="K58" s="247" t="n">
        <v>103.57</v>
      </c>
      <c r="L58" s="245" t="n">
        <v>219</v>
      </c>
      <c r="M58" s="246" t="n">
        <v>42356</v>
      </c>
      <c r="N58" s="246" t="n">
        <v>42370</v>
      </c>
      <c r="O58" s="295" t="n">
        <v>65000</v>
      </c>
      <c r="P58" s="20" t="n">
        <v>46365</v>
      </c>
      <c r="Q58" s="67">
        <f>P58/O58</f>
        <v/>
      </c>
      <c r="R58" s="198">
        <f>P58/W58</f>
        <v/>
      </c>
      <c r="S58" s="306">
        <f>O58-H58</f>
        <v/>
      </c>
      <c r="T58" t="s">
        <v>335</v>
      </c>
      <c r="U58" t="s">
        <v>336</v>
      </c>
      <c r="W58" s="306">
        <f>AVERAGE(T58:V58)</f>
        <v/>
      </c>
      <c r="X58" s="306">
        <f>Y58/0.01</f>
        <v/>
      </c>
    </row>
    <row customFormat="1" customHeight="1" ht="20.25" r="59" s="188" spans="1:28">
      <c r="A59" s="363" t="n">
        <v>40273</v>
      </c>
      <c r="B59" s="358" t="s">
        <v>91</v>
      </c>
      <c r="C59" s="358" t="s">
        <v>92</v>
      </c>
      <c r="D59" s="359" t="s">
        <v>93</v>
      </c>
      <c r="E59" s="359" t="n">
        <v>29203</v>
      </c>
      <c r="F59" s="148" t="s">
        <v>4</v>
      </c>
      <c r="G59" s="155" t="n">
        <v>41530</v>
      </c>
      <c r="H59" s="354" t="n">
        <v>28169.81</v>
      </c>
      <c r="I59" s="355" t="n">
        <v>0.095</v>
      </c>
      <c r="J59" s="354" t="n">
        <v>272.18</v>
      </c>
      <c r="K59" s="354" t="n">
        <v>122.51</v>
      </c>
      <c r="L59" s="352" t="n">
        <v>215</v>
      </c>
      <c r="M59" s="353" t="n">
        <v>42356</v>
      </c>
      <c r="N59" s="353" t="n">
        <v>42370</v>
      </c>
      <c r="O59" s="332" t="n">
        <v>36000</v>
      </c>
      <c r="P59" s="157" t="n">
        <v>23240</v>
      </c>
      <c r="Q59" s="185">
        <f>P59/O59</f>
        <v/>
      </c>
      <c r="R59" s="185">
        <f>P59/W59</f>
        <v/>
      </c>
      <c r="S59" s="189">
        <f>O59-H59</f>
        <v/>
      </c>
      <c r="T59" s="361" t="s">
        <v>337</v>
      </c>
      <c r="U59" s="361" t="s">
        <v>338</v>
      </c>
      <c r="V59" s="361" t="n">
        <v>59000</v>
      </c>
      <c r="W59" s="189">
        <f>AVERAGE(T59:V59)</f>
        <v/>
      </c>
      <c r="X59" s="189">
        <f>Y59/0.01</f>
        <v/>
      </c>
      <c r="Y59" s="361" t="n">
        <v>900</v>
      </c>
      <c r="Z59" s="362" t="s">
        <v>83</v>
      </c>
    </row>
    <row customHeight="1" ht="20.25" r="60" s="307" spans="1:28">
      <c r="A60" s="257" t="n">
        <v>41693</v>
      </c>
      <c r="B60" s="263" t="s">
        <v>215</v>
      </c>
      <c r="C60" s="263" t="s">
        <v>27</v>
      </c>
      <c r="D60" s="254" t="s">
        <v>28</v>
      </c>
      <c r="E60" s="254" t="n">
        <v>43204</v>
      </c>
      <c r="F60" s="26" t="s">
        <v>4</v>
      </c>
      <c r="G60" s="25" t="s">
        <v>216</v>
      </c>
      <c r="H60" s="247" t="n">
        <v>33465.97</v>
      </c>
      <c r="I60" s="222" t="n">
        <v>0.08</v>
      </c>
      <c r="J60" s="295" t="n">
        <v>285.44</v>
      </c>
      <c r="K60" s="295" t="n">
        <v>141.53</v>
      </c>
      <c r="L60" s="220" t="n">
        <v>222</v>
      </c>
      <c r="M60" s="25" t="n">
        <v>42369</v>
      </c>
      <c r="N60" s="25" t="n">
        <v>42370</v>
      </c>
      <c r="O60" s="295" t="n">
        <v>40000</v>
      </c>
      <c r="P60" s="28" t="n">
        <v>27600</v>
      </c>
      <c r="Q60" s="67">
        <f>P60/O60</f>
        <v/>
      </c>
      <c r="R60" s="198">
        <f>P60/W60</f>
        <v/>
      </c>
      <c r="S60" s="306">
        <f>O60-H60</f>
        <v/>
      </c>
      <c r="T60" t="s">
        <v>339</v>
      </c>
      <c r="U60" t="s">
        <v>340</v>
      </c>
      <c r="W60" s="306">
        <f>AVERAGE(T60:V60)</f>
        <v/>
      </c>
      <c r="X60" s="306">
        <f>Y60/0.01</f>
        <v/>
      </c>
    </row>
    <row customHeight="1" ht="20.25" r="61" s="307" spans="1:28">
      <c r="A61" s="257" t="n">
        <v>42933</v>
      </c>
      <c r="B61" s="263" t="s">
        <v>217</v>
      </c>
      <c r="C61" s="263" t="s">
        <v>218</v>
      </c>
      <c r="D61" s="254" t="s">
        <v>28</v>
      </c>
      <c r="E61" s="254" t="n">
        <v>44128</v>
      </c>
      <c r="F61" s="26" t="s">
        <v>4</v>
      </c>
      <c r="G61" s="25" t="s">
        <v>219</v>
      </c>
      <c r="H61" s="247" t="n">
        <v>67178.92999999999</v>
      </c>
      <c r="I61" s="222" t="n">
        <v>0.08</v>
      </c>
      <c r="J61" s="295" t="n">
        <v>570.87</v>
      </c>
      <c r="K61" s="295" t="n">
        <v>161.85</v>
      </c>
      <c r="L61" s="220" t="n">
        <v>231</v>
      </c>
      <c r="M61" s="25" t="n">
        <v>42321</v>
      </c>
      <c r="N61" s="25" t="n">
        <v>42217</v>
      </c>
      <c r="O61" s="295" t="n">
        <v>70000</v>
      </c>
      <c r="P61" s="28" t="n">
        <v>36950</v>
      </c>
      <c r="Q61" s="67">
        <f>P61/O61</f>
        <v/>
      </c>
      <c r="R61" s="198">
        <f>P61/W61</f>
        <v/>
      </c>
      <c r="S61" s="306">
        <f>O61-H61</f>
        <v/>
      </c>
      <c r="T61" t="s">
        <v>341</v>
      </c>
      <c r="U61" t="s">
        <v>315</v>
      </c>
      <c r="W61" s="306">
        <f>AVERAGE(T61:V61)</f>
        <v/>
      </c>
      <c r="X61" s="306">
        <f>Y61/0.01</f>
        <v/>
      </c>
    </row>
    <row customHeight="1" ht="20.25" r="62" s="307" spans="1:28">
      <c r="A62" s="257" t="n">
        <v>42954</v>
      </c>
      <c r="B62" s="263" t="s">
        <v>220</v>
      </c>
      <c r="C62" s="263" t="s">
        <v>56</v>
      </c>
      <c r="D62" s="254" t="s">
        <v>28</v>
      </c>
      <c r="E62" s="254" t="n">
        <v>45231</v>
      </c>
      <c r="F62" s="26" t="s">
        <v>4</v>
      </c>
      <c r="G62" s="25" t="n">
        <v>41885</v>
      </c>
      <c r="H62" s="247" t="n">
        <v>36711.82</v>
      </c>
      <c r="I62" s="222" t="n">
        <v>0.08</v>
      </c>
      <c r="J62" s="295" t="n">
        <v>317.85</v>
      </c>
      <c r="K62" s="295" t="n">
        <v>135.95</v>
      </c>
      <c r="L62" s="220" t="n">
        <v>225</v>
      </c>
      <c r="M62" s="25" t="n">
        <v>42368</v>
      </c>
      <c r="N62" s="25" t="n">
        <v>42401</v>
      </c>
      <c r="O62" s="295" t="n">
        <v>63000</v>
      </c>
      <c r="P62" s="28" t="n">
        <v>30285</v>
      </c>
      <c r="Q62" s="67">
        <f>P62/O62</f>
        <v/>
      </c>
      <c r="R62" s="198">
        <f>P62/W62</f>
        <v/>
      </c>
      <c r="S62" s="306">
        <f>O62-H62</f>
        <v/>
      </c>
      <c r="T62" t="s">
        <v>342</v>
      </c>
      <c r="U62" t="s">
        <v>324</v>
      </c>
      <c r="W62" s="308" t="n"/>
      <c r="X62" s="308" t="n"/>
    </row>
    <row customHeight="1" ht="20.25" r="63" s="307" spans="1:28">
      <c r="A63" s="257" t="n">
        <v>43048</v>
      </c>
      <c r="B63" s="263" t="s">
        <v>221</v>
      </c>
      <c r="C63" s="263" t="s">
        <v>218</v>
      </c>
      <c r="D63" s="254" t="s">
        <v>28</v>
      </c>
      <c r="E63" s="254" t="n">
        <v>44120</v>
      </c>
      <c r="F63" s="26" t="s">
        <v>4</v>
      </c>
      <c r="G63" s="25" t="n">
        <v>41894</v>
      </c>
      <c r="H63" s="247" t="n">
        <v>37959.15</v>
      </c>
      <c r="I63" s="222" t="n">
        <v>0.08</v>
      </c>
      <c r="J63" s="295" t="n">
        <v>326.21</v>
      </c>
      <c r="K63" s="295" t="n">
        <v>120.99</v>
      </c>
      <c r="L63" s="220" t="n">
        <v>225</v>
      </c>
      <c r="M63" s="25" t="s">
        <v>222</v>
      </c>
      <c r="N63" s="25" t="n">
        <v>42370</v>
      </c>
      <c r="O63" s="295" t="n">
        <v>60000</v>
      </c>
      <c r="P63" s="28" t="n">
        <v>31315</v>
      </c>
      <c r="Q63" s="67">
        <f>P63/O63</f>
        <v/>
      </c>
      <c r="R63" s="198">
        <f>P63/W63</f>
        <v/>
      </c>
      <c r="S63" s="306">
        <f>O63-H63</f>
        <v/>
      </c>
      <c r="T63" t="s">
        <v>343</v>
      </c>
      <c r="U63" t="s">
        <v>303</v>
      </c>
      <c r="W63" s="308" t="n"/>
      <c r="X63" s="308" t="n"/>
    </row>
    <row customHeight="1" ht="20.25" r="64" s="307" spans="1:28">
      <c r="A64" s="257" t="n">
        <v>48043</v>
      </c>
      <c r="B64" s="263" t="s">
        <v>223</v>
      </c>
      <c r="C64" s="263" t="s">
        <v>218</v>
      </c>
      <c r="D64" s="254" t="s">
        <v>28</v>
      </c>
      <c r="E64" s="254" t="n">
        <v>44120</v>
      </c>
      <c r="F64" s="26" t="s">
        <v>4</v>
      </c>
      <c r="G64" s="25" t="n">
        <v>41919</v>
      </c>
      <c r="H64" s="247" t="n">
        <v>38315.77</v>
      </c>
      <c r="I64" s="222" t="n">
        <v>0.08</v>
      </c>
      <c r="J64" s="295" t="n">
        <v>326.21</v>
      </c>
      <c r="K64" s="295" t="n">
        <v>117</v>
      </c>
      <c r="L64" s="220" t="n">
        <v>229</v>
      </c>
      <c r="M64" s="25" t="n">
        <v>42348</v>
      </c>
      <c r="N64" s="25" t="n">
        <v>42309</v>
      </c>
      <c r="O64" s="295" t="n">
        <v>24000</v>
      </c>
      <c r="P64" s="28" t="n">
        <v>18720</v>
      </c>
      <c r="Q64" s="67">
        <f>P64/O64</f>
        <v/>
      </c>
      <c r="R64" s="198">
        <f>P64/W64</f>
        <v/>
      </c>
      <c r="S64" s="306">
        <f>O64-H64</f>
        <v/>
      </c>
      <c r="T64" t="s">
        <v>344</v>
      </c>
      <c r="U64" t="s">
        <v>266</v>
      </c>
      <c r="W64" s="308" t="n"/>
      <c r="X64" s="308" t="n"/>
    </row>
    <row customHeight="1" ht="20.25" r="65" s="307" spans="1:28">
      <c r="A65" s="257" t="n">
        <v>42950</v>
      </c>
      <c r="B65" s="268" t="s">
        <v>224</v>
      </c>
      <c r="C65" s="263" t="s">
        <v>218</v>
      </c>
      <c r="D65" s="254" t="s">
        <v>28</v>
      </c>
      <c r="E65" s="254" t="n">
        <v>44102</v>
      </c>
      <c r="F65" s="254" t="s">
        <v>4</v>
      </c>
      <c r="G65" s="25" t="n">
        <v>41856</v>
      </c>
      <c r="H65" s="247" t="n">
        <v>38022.18</v>
      </c>
      <c r="I65" s="249" t="n">
        <v>0.08</v>
      </c>
      <c r="J65" s="295" t="n">
        <v>326.21</v>
      </c>
      <c r="K65" s="295" t="n">
        <v>119.33</v>
      </c>
      <c r="L65" s="220" t="n">
        <v>224</v>
      </c>
      <c r="M65" s="25" t="s">
        <v>225</v>
      </c>
      <c r="N65" s="25" t="n">
        <v>42370</v>
      </c>
      <c r="O65" s="295" t="n">
        <v>24000</v>
      </c>
      <c r="P65" s="28" t="n">
        <v>19800</v>
      </c>
      <c r="Q65" s="67">
        <f>P65/O65</f>
        <v/>
      </c>
      <c r="R65" s="198">
        <f>P65/W65</f>
        <v/>
      </c>
      <c r="S65" s="306">
        <f>O65-H65</f>
        <v/>
      </c>
      <c r="T65" t="s">
        <v>345</v>
      </c>
      <c r="U65" t="s">
        <v>346</v>
      </c>
      <c r="W65" s="308" t="n"/>
      <c r="X65" s="308" t="n"/>
    </row>
    <row customHeight="1" ht="20.25" r="66" s="307" spans="1:28">
      <c r="A66" s="231" t="n">
        <v>56013</v>
      </c>
      <c r="B66" s="269" t="s">
        <v>226</v>
      </c>
      <c r="C66" s="269" t="s">
        <v>227</v>
      </c>
      <c r="D66" s="270" t="s">
        <v>228</v>
      </c>
      <c r="E66" s="270" t="n">
        <v>36553</v>
      </c>
      <c r="F66" s="254" t="s">
        <v>4</v>
      </c>
      <c r="G66" s="25" t="n">
        <v>37189</v>
      </c>
      <c r="H66" s="247" t="n">
        <v>145920.01</v>
      </c>
      <c r="I66" s="249" t="n">
        <v>0.0388</v>
      </c>
      <c r="J66" s="295" t="n">
        <v>600.67</v>
      </c>
      <c r="K66" s="295" t="n">
        <v>22.37</v>
      </c>
      <c r="L66" s="220" t="n">
        <v>476</v>
      </c>
      <c r="M66" s="25" t="n">
        <v>42345</v>
      </c>
      <c r="N66" s="25" t="n">
        <v>42370</v>
      </c>
      <c r="O66" s="295" t="n">
        <v>94500</v>
      </c>
      <c r="P66" s="28" t="n">
        <v>62015</v>
      </c>
      <c r="Q66" s="67">
        <f>P66/O66</f>
        <v/>
      </c>
      <c r="R66" s="198">
        <f>P66/W66</f>
        <v/>
      </c>
      <c r="S66" s="306">
        <f>O66-H66</f>
        <v/>
      </c>
      <c r="T66" t="s">
        <v>347</v>
      </c>
      <c r="U66" t="s">
        <v>266</v>
      </c>
      <c r="W66" s="308" t="n"/>
      <c r="X66" s="308" t="n"/>
    </row>
    <row customHeight="1" ht="20.25" r="67" s="307" spans="1:28">
      <c r="A67" s="231" t="n">
        <v>48469</v>
      </c>
      <c r="B67" s="271" t="s">
        <v>229</v>
      </c>
      <c r="C67" s="272" t="s">
        <v>230</v>
      </c>
      <c r="D67" s="273" t="s">
        <v>65</v>
      </c>
      <c r="E67" s="273" t="s">
        <v>231</v>
      </c>
      <c r="F67" s="254" t="s">
        <v>4</v>
      </c>
      <c r="G67" s="25" t="n">
        <v>39955</v>
      </c>
      <c r="H67" s="247" t="n">
        <v>15901.72</v>
      </c>
      <c r="I67" s="249" t="n">
        <v>0.0725</v>
      </c>
      <c r="J67" s="295" t="n">
        <v>249.9</v>
      </c>
      <c r="K67" s="295" t="n">
        <v>89.97</v>
      </c>
      <c r="L67" s="220" t="n">
        <v>79</v>
      </c>
      <c r="M67" s="25" t="n">
        <v>42348</v>
      </c>
      <c r="N67" s="25" t="n">
        <v>42339</v>
      </c>
      <c r="O67" s="295" t="n">
        <v>16000</v>
      </c>
      <c r="P67" s="28" t="n">
        <v>11925</v>
      </c>
      <c r="Q67" s="67">
        <f>P67/O67</f>
        <v/>
      </c>
      <c r="R67" s="198">
        <f>P67/W67</f>
        <v/>
      </c>
      <c r="S67" s="306">
        <f>O67-H67</f>
        <v/>
      </c>
      <c r="T67" t="s">
        <v>348</v>
      </c>
      <c r="U67" t="s">
        <v>303</v>
      </c>
      <c r="W67" s="308" t="n"/>
      <c r="X67" s="308" t="n"/>
    </row>
    <row customHeight="1" ht="20.25" r="68" s="307" spans="1:28">
      <c r="A68" s="274" t="n">
        <v>55234</v>
      </c>
      <c r="B68" s="275" t="s">
        <v>232</v>
      </c>
      <c r="C68" s="275" t="s">
        <v>233</v>
      </c>
      <c r="D68" s="276" t="s">
        <v>141</v>
      </c>
      <c r="E68" s="276" t="s">
        <v>234</v>
      </c>
      <c r="F68" s="277" t="s">
        <v>4</v>
      </c>
      <c r="G68" s="108" t="n">
        <v>36647</v>
      </c>
      <c r="H68" s="278" t="n">
        <v>43099.04</v>
      </c>
      <c r="I68" s="279" t="n">
        <v>0.06</v>
      </c>
      <c r="J68" s="280" t="n">
        <v>381.05</v>
      </c>
      <c r="K68" s="280" t="n">
        <v>309.65</v>
      </c>
      <c r="L68" s="296" t="n">
        <v>168</v>
      </c>
      <c r="M68" s="108" t="n">
        <v>42345</v>
      </c>
      <c r="N68" s="108" t="s">
        <v>235</v>
      </c>
      <c r="O68" s="280" t="n">
        <v>92500</v>
      </c>
      <c r="P68" s="305" t="n">
        <v>29365</v>
      </c>
      <c r="Q68" s="67">
        <f>P68/O68</f>
        <v/>
      </c>
      <c r="R68" s="198">
        <f>P68/W68</f>
        <v/>
      </c>
      <c r="S68" s="306">
        <f>O68-H68</f>
        <v/>
      </c>
      <c r="T68" t="s">
        <v>349</v>
      </c>
      <c r="U68" t="s">
        <v>350</v>
      </c>
      <c r="W68" s="308" t="n"/>
      <c r="X68" s="308" t="n"/>
    </row>
    <row customHeight="1" ht="20.25" r="69" s="307" spans="1:28">
      <c r="A69" s="281" t="s">
        <v>236</v>
      </c>
      <c r="B69" s="208" t="s">
        <v>6</v>
      </c>
      <c r="C69" s="282" t="s">
        <v>7</v>
      </c>
      <c r="D69" s="208" t="s">
        <v>8</v>
      </c>
      <c r="E69" s="208" t="s">
        <v>9</v>
      </c>
      <c r="F69" s="209" t="s">
        <v>10</v>
      </c>
      <c r="G69" s="211" t="s">
        <v>19</v>
      </c>
      <c r="H69" s="211" t="s">
        <v>237</v>
      </c>
      <c r="I69" s="283" t="s">
        <v>238</v>
      </c>
      <c r="J69" s="283" t="s">
        <v>239</v>
      </c>
      <c r="K69" s="283" t="s">
        <v>240</v>
      </c>
      <c r="L69" s="297" t="s">
        <v>44</v>
      </c>
      <c r="M69" s="308" t="n"/>
      <c r="N69" s="308" t="n"/>
      <c r="T69" t="s">
        <v>283</v>
      </c>
      <c r="U69" t="s">
        <v>266</v>
      </c>
      <c r="W69" s="308" t="n"/>
      <c r="X69" s="308" t="n"/>
    </row>
    <row customHeight="1" ht="20.25" r="70" s="307" spans="1:28">
      <c r="A70" s="231" t="n">
        <v>39793</v>
      </c>
      <c r="B70" s="284" t="s">
        <v>241</v>
      </c>
      <c r="C70" s="284" t="s">
        <v>242</v>
      </c>
      <c r="D70" s="26" t="s">
        <v>228</v>
      </c>
      <c r="E70" s="26" t="n">
        <v>35224</v>
      </c>
      <c r="F70" s="26" t="s">
        <v>4</v>
      </c>
      <c r="G70" s="50" t="n">
        <v>19000</v>
      </c>
      <c r="H70" s="26" t="s">
        <v>243</v>
      </c>
      <c r="I70" s="295" t="n">
        <v>10830</v>
      </c>
      <c r="J70" s="295" t="n">
        <v>11400</v>
      </c>
      <c r="K70" s="295" t="n">
        <v>11970</v>
      </c>
      <c r="L70" s="21" t="s">
        <v>24</v>
      </c>
      <c r="M70" s="308" t="n"/>
      <c r="N70" s="308" t="n"/>
      <c r="T70" t="s">
        <v>351</v>
      </c>
      <c r="U70" t="s">
        <v>352</v>
      </c>
      <c r="W70" s="308" t="n"/>
      <c r="X70" s="308" t="n"/>
    </row>
    <row customHeight="1" ht="20.25" r="71" s="307" spans="1:28">
      <c r="A71" s="231" t="n">
        <v>39848</v>
      </c>
      <c r="B71" s="284" t="s">
        <v>244</v>
      </c>
      <c r="C71" s="284" t="s">
        <v>245</v>
      </c>
      <c r="D71" s="26" t="s">
        <v>246</v>
      </c>
      <c r="E71" s="26" t="n">
        <v>41101</v>
      </c>
      <c r="F71" s="26" t="s">
        <v>4</v>
      </c>
      <c r="G71" s="50" t="n">
        <v>35000</v>
      </c>
      <c r="H71" s="26" t="s">
        <v>247</v>
      </c>
      <c r="I71" s="295" t="n">
        <v>19950</v>
      </c>
      <c r="J71" s="295" t="n">
        <v>21000</v>
      </c>
      <c r="K71" s="295" t="n">
        <v>22050</v>
      </c>
      <c r="L71" s="21" t="s">
        <v>24</v>
      </c>
      <c r="M71" s="308" t="n"/>
      <c r="N71" s="308" t="n"/>
      <c r="T71" t="s">
        <v>353</v>
      </c>
      <c r="U71" t="s">
        <v>354</v>
      </c>
      <c r="W71" s="308" t="n"/>
      <c r="X71" s="308" t="n"/>
    </row>
    <row customHeight="1" ht="20.25" r="72" s="307" spans="1:28">
      <c r="A72" s="231" t="n">
        <v>39792</v>
      </c>
      <c r="B72" s="284" t="s">
        <v>248</v>
      </c>
      <c r="C72" s="284" t="s">
        <v>242</v>
      </c>
      <c r="D72" s="26" t="s">
        <v>228</v>
      </c>
      <c r="E72" s="26" t="n">
        <v>35218</v>
      </c>
      <c r="F72" s="26" t="s">
        <v>4</v>
      </c>
      <c r="G72" s="295" t="n">
        <v>15000</v>
      </c>
      <c r="H72" s="26" t="s">
        <v>249</v>
      </c>
      <c r="I72" s="295" t="n">
        <v>7124.999999999999</v>
      </c>
      <c r="J72" s="295" t="n">
        <v>7500</v>
      </c>
      <c r="K72" s="295" t="n">
        <v>7875</v>
      </c>
      <c r="L72" s="21" t="s">
        <v>24</v>
      </c>
      <c r="M72" s="308" t="n"/>
      <c r="N72" s="308" t="n"/>
      <c r="T72" t="s">
        <v>283</v>
      </c>
      <c r="U72" t="s">
        <v>266</v>
      </c>
      <c r="W72" s="308" t="n"/>
      <c r="X72" s="308" t="n"/>
    </row>
    <row customHeight="1" ht="20.25" r="73" s="307" spans="1:28">
      <c r="A73" s="231" t="n">
        <v>39909</v>
      </c>
      <c r="B73" s="284" t="s">
        <v>250</v>
      </c>
      <c r="C73" s="284" t="s">
        <v>251</v>
      </c>
      <c r="D73" s="26" t="s">
        <v>28</v>
      </c>
      <c r="E73" s="26" t="n">
        <v>43613</v>
      </c>
      <c r="F73" s="26" t="s">
        <v>4</v>
      </c>
      <c r="G73" s="50" t="n">
        <v>12700</v>
      </c>
      <c r="H73" s="26" t="s">
        <v>252</v>
      </c>
      <c r="I73" s="295" t="n">
        <v>7240</v>
      </c>
      <c r="J73" s="295" t="n">
        <v>7625</v>
      </c>
      <c r="K73" s="295" t="n">
        <v>8000</v>
      </c>
      <c r="L73" s="21" t="s">
        <v>24</v>
      </c>
      <c r="M73" s="308" t="n"/>
      <c r="N73" s="308" t="n"/>
      <c r="T73" t="s">
        <v>355</v>
      </c>
      <c r="U73" t="s">
        <v>356</v>
      </c>
      <c r="W73" s="308" t="n"/>
      <c r="X73" s="308" t="n"/>
    </row>
    <row customHeight="1" ht="20.25" r="74" s="307" spans="1:28">
      <c r="A74" s="231" t="n">
        <v>39894</v>
      </c>
      <c r="B74" s="284" t="s">
        <v>253</v>
      </c>
      <c r="C74" s="284" t="s">
        <v>254</v>
      </c>
      <c r="D74" s="26" t="s">
        <v>246</v>
      </c>
      <c r="E74" s="26" t="n">
        <v>40211</v>
      </c>
      <c r="F74" s="26" t="s">
        <v>4</v>
      </c>
      <c r="G74" s="50" t="n">
        <v>34000</v>
      </c>
      <c r="H74" s="285" t="s">
        <v>255</v>
      </c>
      <c r="I74" s="295" t="n">
        <v>19380</v>
      </c>
      <c r="J74" s="295" t="n">
        <v>20400</v>
      </c>
      <c r="K74" s="295" t="n">
        <v>21420</v>
      </c>
      <c r="L74" s="21" t="s">
        <v>24</v>
      </c>
      <c r="M74" s="308" t="n"/>
      <c r="N74" s="308" t="n"/>
      <c r="T74" t="s">
        <v>357</v>
      </c>
      <c r="U74" t="s">
        <v>287</v>
      </c>
      <c r="W74" s="308" t="n"/>
      <c r="X74" s="308" t="n"/>
    </row>
    <row customHeight="1" ht="20.25" r="75" s="307" spans="1:28">
      <c r="A75" s="231" t="n">
        <v>39787</v>
      </c>
      <c r="B75" s="284" t="s">
        <v>256</v>
      </c>
      <c r="C75" s="284" t="s">
        <v>242</v>
      </c>
      <c r="D75" s="26" t="s">
        <v>228</v>
      </c>
      <c r="E75" s="26" t="n">
        <v>35224</v>
      </c>
      <c r="F75" s="26" t="s">
        <v>4</v>
      </c>
      <c r="G75" s="50" t="n">
        <v>31500</v>
      </c>
      <c r="H75" s="26" t="s">
        <v>257</v>
      </c>
      <c r="I75" s="295" t="n">
        <v>17955</v>
      </c>
      <c r="J75" s="295" t="n">
        <v>18900</v>
      </c>
      <c r="K75" s="295" t="n">
        <v>19845</v>
      </c>
      <c r="L75" s="21" t="s">
        <v>24</v>
      </c>
      <c r="M75" s="308" t="n"/>
      <c r="N75" s="308" t="n"/>
      <c r="T75" t="s">
        <v>358</v>
      </c>
      <c r="U75" t="s">
        <v>266</v>
      </c>
      <c r="W75" s="308" t="n"/>
      <c r="X75" s="308" t="n"/>
    </row>
    <row customHeight="1" ht="20.25" r="76" s="307" spans="1:28">
      <c r="A76" s="286" t="n">
        <v>39846</v>
      </c>
      <c r="B76" s="287" t="s">
        <v>258</v>
      </c>
      <c r="C76" s="287" t="s">
        <v>259</v>
      </c>
      <c r="D76" s="88" t="s">
        <v>141</v>
      </c>
      <c r="E76" s="88" t="n">
        <v>62618</v>
      </c>
      <c r="F76" s="88" t="s">
        <v>4</v>
      </c>
      <c r="G76" s="95" t="n">
        <v>18500</v>
      </c>
      <c r="H76" s="88" t="s">
        <v>260</v>
      </c>
      <c r="I76" s="280" t="n">
        <v>10545</v>
      </c>
      <c r="J76" s="280" t="n">
        <v>11100</v>
      </c>
      <c r="K76" s="280" t="n">
        <v>11655</v>
      </c>
      <c r="L76" s="46" t="s">
        <v>24</v>
      </c>
      <c r="M76" s="308" t="n"/>
      <c r="N76" s="308" t="n"/>
      <c r="T76" t="s">
        <v>359</v>
      </c>
      <c r="U76" t="s">
        <v>266</v>
      </c>
      <c r="W76" s="308" t="n"/>
      <c r="X76" s="308" t="n"/>
    </row>
    <row customHeight="1" ht="20.25" r="77" s="307" spans="1:28">
      <c r="T77" t="s">
        <v>283</v>
      </c>
      <c r="W77" s="308" t="n"/>
      <c r="X77" s="308" t="n"/>
    </row>
    <row customHeight="1" ht="20.25" r="78" s="307" spans="1:28">
      <c r="T78" t="s">
        <v>283</v>
      </c>
      <c r="W78" s="308" t="n"/>
      <c r="X78" s="308" t="n"/>
    </row>
    <row customHeight="1" ht="20.25" r="79" s="307" spans="1:28">
      <c r="T79" t="s">
        <v>283</v>
      </c>
      <c r="W79" s="308" t="n"/>
      <c r="X79" s="308" t="n"/>
    </row>
    <row customHeight="1" ht="20.25" r="80" s="307" spans="1:28">
      <c r="T80" t="s">
        <v>283</v>
      </c>
      <c r="W80" s="308" t="n"/>
      <c r="X80" s="308" t="n"/>
    </row>
    <row customHeight="1" ht="20.25" r="81" s="307" spans="1:28">
      <c r="T81" t="s">
        <v>283</v>
      </c>
      <c r="W81" s="308" t="n"/>
      <c r="X81" s="308" t="n"/>
    </row>
    <row customHeight="1" ht="20.25" r="82" s="307" spans="1:28">
      <c r="T82" t="s">
        <v>283</v>
      </c>
      <c r="W82" s="308" t="n"/>
      <c r="X82" s="308" t="n"/>
    </row>
    <row customHeight="1" ht="20.25" r="83" s="307" spans="1:28">
      <c r="T83" t="s">
        <v>283</v>
      </c>
      <c r="W83" s="308" t="n"/>
      <c r="X83" s="308" t="n"/>
    </row>
    <row customHeight="1" ht="20.25" r="84" s="307" spans="1:28">
      <c r="T84" t="s">
        <v>283</v>
      </c>
      <c r="W84" s="308" t="n"/>
      <c r="X84" s="308" t="n"/>
    </row>
    <row customHeight="1" ht="20.25" r="85" s="307" spans="1:28">
      <c r="T85" t="s">
        <v>283</v>
      </c>
      <c r="W85" s="308" t="n"/>
      <c r="X85" s="308" t="n"/>
    </row>
    <row customHeight="1" ht="20.25" r="86" s="307" spans="1:28">
      <c r="T86" t="s">
        <v>283</v>
      </c>
      <c r="W86" s="308" t="n"/>
      <c r="X86" s="308" t="n"/>
    </row>
    <row customHeight="1" ht="20.25" r="87" s="307" spans="1:28">
      <c r="T87" t="s">
        <v>283</v>
      </c>
      <c r="W87" s="308" t="n"/>
      <c r="X87" s="308" t="n"/>
    </row>
    <row customHeight="1" ht="20.25" r="88" s="307" spans="1:28">
      <c r="T88" t="s">
        <v>283</v>
      </c>
      <c r="W88" s="308" t="n"/>
      <c r="X88" s="308" t="n"/>
    </row>
    <row customHeight="1" ht="20.25" r="89" s="307" spans="1:28">
      <c r="T89" t="s">
        <v>283</v>
      </c>
      <c r="W89" s="308" t="n"/>
      <c r="X89" s="308" t="n"/>
    </row>
    <row customHeight="1" ht="20.25" r="90" s="307" spans="1:28">
      <c r="T90" t="s">
        <v>283</v>
      </c>
      <c r="W90" s="308" t="n"/>
      <c r="X90" s="308" t="n"/>
    </row>
    <row customHeight="1" ht="20.25" r="91" s="307" spans="1:28">
      <c r="T91" t="s">
        <v>283</v>
      </c>
      <c r="W91" s="308" t="n"/>
      <c r="X91" s="308" t="n"/>
    </row>
    <row customHeight="1" ht="20.25" r="92" s="307" spans="1:28">
      <c r="T92" t="s">
        <v>283</v>
      </c>
      <c r="W92" s="308" t="n"/>
      <c r="X92" s="308" t="n"/>
    </row>
    <row customHeight="1" ht="20.25" r="93" s="307" spans="1:28">
      <c r="T93" t="s">
        <v>283</v>
      </c>
      <c r="W93" s="308" t="n"/>
      <c r="X93" s="308" t="n"/>
    </row>
    <row customHeight="1" ht="20.25" r="94" s="307" spans="1:28">
      <c r="T94" t="s">
        <v>283</v>
      </c>
      <c r="W94" s="308" t="n"/>
      <c r="X94" s="308" t="n"/>
    </row>
    <row customHeight="1" ht="20.25" r="95" s="307" spans="1:28">
      <c r="T95" t="s">
        <v>283</v>
      </c>
      <c r="W95" s="308" t="n"/>
      <c r="X95" s="308" t="n"/>
    </row>
    <row customHeight="1" ht="20.25" r="96" s="307" spans="1:28">
      <c r="T96" t="s">
        <v>283</v>
      </c>
      <c r="W96" s="308" t="n"/>
      <c r="X96" s="308" t="n"/>
    </row>
    <row customHeight="1" ht="20.25" r="97" s="307" spans="1:28">
      <c r="T97" t="s">
        <v>283</v>
      </c>
      <c r="W97" s="308" t="n"/>
      <c r="X97" s="308" t="n"/>
    </row>
    <row customHeight="1" ht="20.25" r="98" s="307" spans="1:28">
      <c r="T98" t="s">
        <v>283</v>
      </c>
      <c r="W98" s="308" t="n"/>
      <c r="X98" s="308" t="n"/>
    </row>
    <row customHeight="1" ht="20.25" r="99" s="307" spans="1:28">
      <c r="T99" t="s">
        <v>283</v>
      </c>
      <c r="W99" s="308" t="n"/>
      <c r="X99" s="308" t="n"/>
    </row>
    <row customHeight="1" ht="20.25" r="100" s="307" spans="1:28">
      <c r="T100" t="s">
        <v>283</v>
      </c>
      <c r="W100" s="308" t="n"/>
      <c r="X100" s="308" t="n"/>
    </row>
    <row customHeight="1" ht="20.25" r="101" s="307" spans="1:28">
      <c r="T101" t="s">
        <v>283</v>
      </c>
      <c r="W101" s="308" t="n"/>
      <c r="X101" s="308" t="n"/>
    </row>
    <row customHeight="1" ht="20.25" r="102" s="307" spans="1:28">
      <c r="T102" t="s">
        <v>283</v>
      </c>
      <c r="W102" s="308" t="n"/>
      <c r="X102" s="308" t="n"/>
    </row>
    <row customHeight="1" ht="20.25" r="103" s="307" spans="1:28">
      <c r="T103" t="s">
        <v>283</v>
      </c>
      <c r="W103" s="308" t="n"/>
      <c r="X103" s="308" t="n"/>
    </row>
    <row customHeight="1" ht="20.25" r="104" s="307" spans="1:28">
      <c r="T104" t="s">
        <v>283</v>
      </c>
      <c r="W104" s="308" t="n"/>
      <c r="X104" s="308" t="n"/>
    </row>
    <row customHeight="1" ht="20.25" r="105" s="307" spans="1:28">
      <c r="T105" t="s">
        <v>283</v>
      </c>
      <c r="W105" s="308" t="n"/>
      <c r="X105" s="308" t="n"/>
    </row>
    <row customHeight="1" ht="20.25" r="106" s="307" spans="1:28">
      <c r="T106" t="s">
        <v>283</v>
      </c>
      <c r="W106" s="308" t="n"/>
      <c r="X106" s="308" t="n"/>
    </row>
    <row customHeight="1" ht="20.25" r="107" s="307" spans="1:28">
      <c r="T107" t="s">
        <v>283</v>
      </c>
      <c r="W107" s="308" t="n"/>
      <c r="X107" s="308" t="n"/>
    </row>
    <row customHeight="1" ht="20.25" r="108" s="307" spans="1:28">
      <c r="T108" t="s">
        <v>283</v>
      </c>
      <c r="W108" s="308" t="n"/>
      <c r="X108" s="308" t="n"/>
    </row>
    <row customHeight="1" ht="20.25" r="109" s="307" spans="1:28">
      <c r="T109" t="s">
        <v>283</v>
      </c>
      <c r="W109" s="308" t="n"/>
      <c r="X109" s="308" t="n"/>
    </row>
    <row customHeight="1" ht="20.25" r="110" s="307" spans="1:28">
      <c r="T110" t="s">
        <v>283</v>
      </c>
      <c r="W110" s="308" t="n"/>
      <c r="X110" s="308" t="n"/>
    </row>
    <row customHeight="1" ht="20.25" r="111" s="307" spans="1:28">
      <c r="T111" t="s">
        <v>283</v>
      </c>
      <c r="W111" s="308" t="n"/>
      <c r="X111" s="308" t="n"/>
    </row>
    <row customHeight="1" ht="20.25" r="112" s="307" spans="1:28">
      <c r="T112" t="s">
        <v>283</v>
      </c>
      <c r="W112" s="308" t="n"/>
      <c r="X112" s="308" t="n"/>
    </row>
    <row customHeight="1" ht="20.25" r="113" s="307" spans="1:28">
      <c r="T113" t="s">
        <v>283</v>
      </c>
      <c r="W113" s="308" t="n"/>
      <c r="X113" s="308" t="n"/>
    </row>
    <row customHeight="1" ht="20.25" r="114" s="307" spans="1:28">
      <c r="T114" t="s">
        <v>283</v>
      </c>
      <c r="W114" s="308" t="n"/>
      <c r="X114" s="308" t="n"/>
    </row>
    <row customHeight="1" ht="20.25" r="115" s="307" spans="1:28">
      <c r="T115" t="s">
        <v>283</v>
      </c>
      <c r="W115" s="308" t="n"/>
      <c r="X115" s="308" t="n"/>
    </row>
    <row customHeight="1" ht="20.25" r="116" s="307" spans="1:28">
      <c r="T116" t="s">
        <v>283</v>
      </c>
      <c r="W116" s="308" t="n"/>
      <c r="X116" s="308" t="n"/>
    </row>
    <row customHeight="1" ht="20.25" r="117" s="307" spans="1:28">
      <c r="T117" t="s">
        <v>283</v>
      </c>
      <c r="W117" s="308" t="n"/>
      <c r="X117" s="308" t="n"/>
    </row>
    <row customHeight="1" ht="20.25" r="118" s="307" spans="1:28">
      <c r="T118" t="s">
        <v>283</v>
      </c>
      <c r="W118" s="308" t="n"/>
      <c r="X118" s="308" t="n"/>
    </row>
    <row customHeight="1" ht="20.25" r="119" s="307" spans="1:28">
      <c r="T119" t="s">
        <v>283</v>
      </c>
      <c r="W119" s="308" t="n"/>
      <c r="X119" s="308" t="n"/>
    </row>
    <row customHeight="1" ht="20.25" r="120" s="307" spans="1:28">
      <c r="T120" t="s">
        <v>283</v>
      </c>
      <c r="W120" s="308" t="n"/>
      <c r="X120" s="308" t="n"/>
    </row>
    <row customHeight="1" ht="20.25" r="121" s="307" spans="1:28">
      <c r="T121" t="s">
        <v>283</v>
      </c>
      <c r="W121" s="308" t="n"/>
      <c r="X121" s="308" t="n"/>
    </row>
    <row customHeight="1" ht="20.25" r="122" s="307" spans="1:28">
      <c r="T122" t="s">
        <v>283</v>
      </c>
      <c r="W122" s="308" t="n"/>
      <c r="X122" s="308" t="n"/>
    </row>
    <row customHeight="1" ht="20.25" r="123" s="307" spans="1:28">
      <c r="T123" t="s">
        <v>283</v>
      </c>
      <c r="W123" s="308" t="n"/>
      <c r="X123" s="308" t="n"/>
    </row>
    <row customHeight="1" ht="20.25" r="124" s="307" spans="1:28">
      <c r="T124" t="s">
        <v>283</v>
      </c>
      <c r="W124" s="308" t="n"/>
      <c r="X124" s="308" t="n"/>
    </row>
    <row customHeight="1" ht="20.25" r="125" s="307" spans="1:28">
      <c r="T125" t="s">
        <v>283</v>
      </c>
      <c r="W125" s="308" t="n"/>
      <c r="X125" s="308" t="n"/>
    </row>
    <row customHeight="1" ht="20.25" r="126" s="307" spans="1:28">
      <c r="T126" t="s">
        <v>283</v>
      </c>
      <c r="W126" s="308" t="n"/>
      <c r="X126" s="308" t="n"/>
    </row>
    <row customHeight="1" ht="20.25" r="127" s="307" spans="1:28">
      <c r="T127" t="s">
        <v>283</v>
      </c>
      <c r="W127" s="308" t="n"/>
      <c r="X127" s="308" t="n"/>
    </row>
    <row customHeight="1" ht="20.25" r="128" s="307" spans="1:28">
      <c r="T128" t="s">
        <v>283</v>
      </c>
      <c r="W128" s="308" t="n"/>
      <c r="X128" s="308" t="n"/>
    </row>
    <row customHeight="1" ht="20.25" r="129" s="307" spans="1:28">
      <c r="T129" t="s">
        <v>283</v>
      </c>
      <c r="W129" s="308" t="n"/>
      <c r="X129" s="308" t="n"/>
    </row>
    <row customHeight="1" ht="20.25" r="130" s="307" spans="1:28">
      <c r="T130" t="s">
        <v>283</v>
      </c>
      <c r="W130" s="308" t="n"/>
      <c r="X130" s="308" t="n"/>
    </row>
    <row customHeight="1" ht="20.25" r="131" s="307" spans="1:28">
      <c r="T131" t="s">
        <v>283</v>
      </c>
      <c r="W131" s="308" t="n"/>
      <c r="X131" s="308" t="n"/>
    </row>
    <row customHeight="1" ht="20.25" r="132" s="307" spans="1:28">
      <c r="T132" t="s">
        <v>283</v>
      </c>
      <c r="W132" s="308" t="n"/>
      <c r="X132" s="308" t="n"/>
    </row>
    <row customHeight="1" ht="20.25" r="133" s="307" spans="1:28">
      <c r="T133" t="s">
        <v>283</v>
      </c>
      <c r="W133" s="308" t="n"/>
      <c r="X133" s="308" t="n"/>
    </row>
    <row customHeight="1" ht="20.25" r="134" s="307" spans="1:28">
      <c r="T134" t="s">
        <v>283</v>
      </c>
      <c r="W134" s="308" t="n"/>
      <c r="X134" s="308" t="n"/>
    </row>
    <row customHeight="1" ht="20.25" r="135" s="307" spans="1:28">
      <c r="T135" t="s">
        <v>283</v>
      </c>
      <c r="W135" s="308" t="n"/>
      <c r="X135" s="308" t="n"/>
    </row>
    <row customHeight="1" ht="20.25" r="136" s="307" spans="1:28">
      <c r="T136" t="s">
        <v>283</v>
      </c>
      <c r="W136" s="308" t="n"/>
      <c r="X136" s="308" t="n"/>
    </row>
    <row customHeight="1" ht="20.25" r="137" s="307" spans="1:28">
      <c r="T137" t="s">
        <v>283</v>
      </c>
      <c r="W137" s="308" t="n"/>
      <c r="X137" s="308" t="n"/>
    </row>
    <row customHeight="1" ht="20.25" r="138" s="307" spans="1:28">
      <c r="T138" t="s">
        <v>283</v>
      </c>
      <c r="W138" s="308" t="n"/>
      <c r="X138" s="308" t="n"/>
    </row>
    <row customHeight="1" ht="20.25" r="139" s="307" spans="1:28">
      <c r="T139" t="s">
        <v>283</v>
      </c>
      <c r="W139" s="308" t="n"/>
      <c r="X139" s="308" t="n"/>
    </row>
    <row customHeight="1" ht="20.25" r="140" s="307" spans="1:28">
      <c r="T140" t="s">
        <v>283</v>
      </c>
      <c r="W140" s="308" t="n"/>
      <c r="X140" s="308" t="n"/>
    </row>
    <row customHeight="1" ht="20.25" r="141" s="307" spans="1:28">
      <c r="T141" t="s">
        <v>283</v>
      </c>
      <c r="W141" s="308" t="n"/>
      <c r="X141" s="308" t="n"/>
    </row>
    <row customHeight="1" ht="20.25" r="142" s="307" spans="1:28">
      <c r="T142" t="s">
        <v>283</v>
      </c>
      <c r="W142" s="308" t="n"/>
      <c r="X142" s="308" t="n"/>
    </row>
    <row customHeight="1" ht="20.25" r="143" s="307" spans="1:28">
      <c r="T143" t="s">
        <v>283</v>
      </c>
      <c r="W143" s="308" t="n"/>
      <c r="X143" s="308" t="n"/>
    </row>
    <row customHeight="1" ht="20.25" r="144" s="307" spans="1:28">
      <c r="T144" t="s">
        <v>283</v>
      </c>
      <c r="W144" s="308" t="n"/>
      <c r="X144" s="308" t="n"/>
    </row>
    <row customHeight="1" ht="20.25" r="145" s="307" spans="1:28">
      <c r="T145" t="s">
        <v>283</v>
      </c>
      <c r="W145" s="308" t="n"/>
      <c r="X145" s="308" t="n"/>
    </row>
    <row customHeight="1" ht="20.25" r="146" s="307" spans="1:28">
      <c r="T146" t="s">
        <v>283</v>
      </c>
      <c r="W146" s="308" t="n"/>
      <c r="X146" s="308" t="n"/>
    </row>
    <row customHeight="1" ht="20.25" r="147" s="307" spans="1:28">
      <c r="T147" t="s">
        <v>283</v>
      </c>
      <c r="W147" s="308" t="n"/>
      <c r="X147" s="308" t="n"/>
    </row>
    <row customHeight="1" ht="20.25" r="148" s="307" spans="1:28">
      <c r="T148" t="s">
        <v>283</v>
      </c>
      <c r="W148" s="308" t="n"/>
      <c r="X148" s="308" t="n"/>
    </row>
    <row customHeight="1" ht="20.25" r="149" s="307" spans="1:28">
      <c r="T149" t="s">
        <v>283</v>
      </c>
      <c r="W149" s="308" t="n"/>
      <c r="X149" s="308" t="n"/>
    </row>
    <row customHeight="1" ht="20.25" r="150" s="307" spans="1:28">
      <c r="T150" t="s">
        <v>283</v>
      </c>
      <c r="W150" s="308" t="n"/>
      <c r="X150" s="308" t="n"/>
    </row>
    <row customHeight="1" ht="20.25" r="151" s="307" spans="1:28">
      <c r="T151" t="s">
        <v>283</v>
      </c>
      <c r="W151" s="308" t="n"/>
      <c r="X151" s="308" t="n"/>
    </row>
    <row customHeight="1" ht="20.25" r="152" s="307" spans="1:28">
      <c r="T152" t="s">
        <v>283</v>
      </c>
      <c r="W152" s="308" t="n"/>
      <c r="X152" s="308" t="n"/>
    </row>
    <row customHeight="1" ht="20.25" r="153" s="307" spans="1:28">
      <c r="T153" t="s">
        <v>283</v>
      </c>
      <c r="W153" s="308" t="n"/>
      <c r="X153" s="308" t="n"/>
    </row>
    <row customHeight="1" ht="20.25" r="154" s="307" spans="1:28">
      <c r="T154" t="s">
        <v>283</v>
      </c>
      <c r="W154" s="308" t="n"/>
      <c r="X154" s="308" t="n"/>
    </row>
    <row customHeight="1" ht="20.25" r="155" s="307" spans="1:28">
      <c r="T155" t="s">
        <v>283</v>
      </c>
      <c r="W155" s="308" t="n"/>
      <c r="X155" s="308" t="n"/>
    </row>
    <row customHeight="1" ht="20.25" r="156" s="307" spans="1:28">
      <c r="T156" t="s">
        <v>283</v>
      </c>
      <c r="W156" s="308" t="n"/>
      <c r="X156" s="308" t="n"/>
    </row>
    <row customHeight="1" ht="20.25" r="157" s="307" spans="1:28">
      <c r="T157" t="s">
        <v>283</v>
      </c>
      <c r="W157" s="308" t="n"/>
      <c r="X157" s="308" t="n"/>
    </row>
    <row customHeight="1" ht="20.25" r="158" s="307" spans="1:28">
      <c r="T158" t="s">
        <v>283</v>
      </c>
      <c r="W158" s="308" t="n"/>
      <c r="X158" s="308" t="n"/>
    </row>
    <row customHeight="1" ht="20.25" r="159" s="307" spans="1:28">
      <c r="T159" t="s">
        <v>283</v>
      </c>
      <c r="W159" s="308" t="n"/>
      <c r="X159" s="308" t="n"/>
    </row>
    <row customHeight="1" ht="20.25" r="160" s="307" spans="1:28">
      <c r="T160" t="s">
        <v>283</v>
      </c>
      <c r="W160" s="308" t="n"/>
      <c r="X160" s="308" t="n"/>
    </row>
    <row customHeight="1" ht="20.25" r="161" s="307" spans="1:28">
      <c r="T161" t="s">
        <v>283</v>
      </c>
      <c r="W161" s="308" t="n"/>
      <c r="X161" s="308" t="n"/>
    </row>
    <row customHeight="1" ht="20.25" r="162" s="307" spans="1:28">
      <c r="T162" t="s">
        <v>283</v>
      </c>
      <c r="W162" s="308" t="n"/>
      <c r="X162" s="308" t="n"/>
    </row>
    <row customHeight="1" ht="20.25" r="163" s="307" spans="1:28">
      <c r="T163" t="s">
        <v>283</v>
      </c>
      <c r="W163" s="308" t="n"/>
      <c r="X163" s="308" t="n"/>
    </row>
    <row customHeight="1" ht="20.25" r="164" s="307" spans="1:28">
      <c r="W164" s="308" t="n"/>
      <c r="X164" s="308" t="n"/>
    </row>
  </sheetData>
  <autoFilter ref="A1:AU164"/>
  <conditionalFormatting sqref="Q2:R68">
    <cfRule priority="5" type="colorScale">
      <colorScale>
        <cfvo type="min"/>
        <cfvo type="percentile" val="50"/>
        <cfvo type="max"/>
        <color rgb="FF008000"/>
        <color rgb="FFFFEB84"/>
        <color rgb="FFFF0000"/>
      </colorScale>
    </cfRule>
  </conditionalFormatting>
  <conditionalFormatting sqref="S4:S68">
    <cfRule priority="9" type="colorScale">
      <colorScale>
        <cfvo type="min"/>
        <cfvo type="percentile" val="50"/>
        <cfvo type="max"/>
        <color rgb="FFFF7128"/>
        <color rgb="FFFFEB84"/>
        <color rgb="FF63BE7B"/>
      </colorScale>
    </cfRule>
  </conditionalFormatting>
  <pageMargins bottom="0.75" footer="0.3" header="0.3" left="0.7" right="0.7" top="0.75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55"/>
  <sheetViews>
    <sheetView topLeftCell="A3" workbookViewId="0">
      <selection activeCell="A3" sqref="A3:K77"/>
    </sheetView>
  </sheetViews>
  <sheetFormatPr baseColWidth="10" defaultRowHeight="15"/>
  <cols>
    <col customWidth="1" max="1" min="1" style="308" width="13.83203125"/>
    <col bestFit="1" customWidth="1" max="2" min="2" style="308" width="27.5"/>
    <col bestFit="1" customWidth="1" max="3" min="3" style="308" width="15.5"/>
    <col customWidth="1" max="5" min="5" style="308" width="13.83203125"/>
    <col bestFit="1" customWidth="1" max="6" min="6" style="308" width="12.6640625"/>
    <col customWidth="1" max="8" min="7" style="308" width="13.83203125"/>
    <col bestFit="1" customWidth="1" max="9" min="9" style="49" width="7.1640625"/>
    <col customWidth="1" max="10" min="10" style="307" width="13.83203125"/>
    <col bestFit="1" customWidth="1" max="12" min="12" style="308" width="11.33203125"/>
    <col customWidth="1" max="14" min="13" style="308" width="13.83203125"/>
    <col customWidth="1" max="27" min="27" style="143" width="13.83203125"/>
  </cols>
  <sheetData>
    <row customHeight="1" hidden="1" ht="15" r="1" s="307" spans="1:30">
      <c r="A1" s="69" t="n">
        <v>2015090831</v>
      </c>
      <c r="B1" s="74" t="s">
        <v>0</v>
      </c>
      <c r="C1" s="79" t="s">
        <v>1</v>
      </c>
      <c r="D1" s="84" t="s">
        <v>2</v>
      </c>
      <c r="E1" s="84" t="s">
        <v>3</v>
      </c>
      <c r="F1" s="84" t="s">
        <v>4</v>
      </c>
      <c r="G1" s="89" t="n">
        <v>34873</v>
      </c>
      <c r="H1" s="94" t="n">
        <v>45126.27</v>
      </c>
      <c r="I1" s="98" t="n">
        <v>0.095</v>
      </c>
      <c r="J1" s="103" t="n">
        <v>436.5</v>
      </c>
      <c r="K1" s="103" t="n">
        <v>0</v>
      </c>
      <c r="L1" s="106" t="n">
        <v>117</v>
      </c>
      <c r="M1" s="107" t="n">
        <v>41821</v>
      </c>
      <c r="N1" s="107" t="n">
        <v>41852</v>
      </c>
      <c r="O1" s="109" t="n">
        <v>15000</v>
      </c>
      <c r="P1" s="114" t="n">
        <v>3750</v>
      </c>
      <c r="Q1" s="66">
        <f>RATE(L1,-J1,P1)*12</f>
        <v/>
      </c>
      <c r="R1" s="67">
        <f>P1/O1</f>
        <v/>
      </c>
      <c r="S1" s="67" t="n"/>
      <c r="T1" s="68">
        <f>O1-H1</f>
        <v/>
      </c>
      <c r="U1" s="68" t="n"/>
      <c r="V1" s="68" t="n"/>
      <c r="W1" s="68" t="n"/>
      <c r="X1" s="68" t="n"/>
      <c r="Y1" s="68" t="n"/>
      <c r="Z1" s="68" t="n"/>
      <c r="AA1" s="140" t="n"/>
      <c r="AB1" s="119" t="s">
        <v>24</v>
      </c>
    </row>
    <row customHeight="1" hidden="1" ht="20" r="2" s="307" spans="1:30">
      <c r="A2" s="71" t="s">
        <v>5</v>
      </c>
      <c r="B2" s="76" t="s">
        <v>6</v>
      </c>
      <c r="C2" s="82" t="s">
        <v>7</v>
      </c>
      <c r="D2" s="76" t="s">
        <v>8</v>
      </c>
      <c r="E2" s="76" t="s">
        <v>9</v>
      </c>
      <c r="F2" s="76" t="s">
        <v>10</v>
      </c>
      <c r="G2" s="91" t="s">
        <v>11</v>
      </c>
      <c r="H2" s="96" t="s">
        <v>12</v>
      </c>
      <c r="I2" s="100" t="s">
        <v>13</v>
      </c>
      <c r="J2" s="96" t="s">
        <v>14</v>
      </c>
      <c r="K2" s="96" t="s">
        <v>15</v>
      </c>
      <c r="L2" s="76" t="s">
        <v>16</v>
      </c>
      <c r="M2" s="93" t="s">
        <v>17</v>
      </c>
      <c r="N2" s="93" t="s">
        <v>18</v>
      </c>
      <c r="O2" s="111" t="s">
        <v>19</v>
      </c>
      <c r="P2" s="115" t="s">
        <v>20</v>
      </c>
      <c r="Q2" s="66">
        <f>RATE(L2,-J2,P2)*12</f>
        <v/>
      </c>
      <c r="R2" s="67">
        <f>P2/O2</f>
        <v/>
      </c>
      <c r="S2" s="67" t="n"/>
      <c r="T2" s="68">
        <f>O2-H2</f>
        <v/>
      </c>
      <c r="U2" s="68" t="n"/>
      <c r="V2" s="68" t="n"/>
      <c r="W2" s="68" t="n"/>
      <c r="X2" s="68" t="n"/>
      <c r="Y2" s="68" t="n"/>
      <c r="Z2" s="68" t="n"/>
      <c r="AA2" s="118" t="n"/>
      <c r="AB2" s="120" t="s">
        <v>44</v>
      </c>
    </row>
    <row customHeight="1" ht="46" r="3" s="307" spans="1:30">
      <c r="A3" s="73" t="s">
        <v>40</v>
      </c>
      <c r="B3" s="76" t="s">
        <v>6</v>
      </c>
      <c r="C3" s="82" t="s">
        <v>7</v>
      </c>
      <c r="D3" s="76" t="s">
        <v>8</v>
      </c>
      <c r="E3" s="76" t="s">
        <v>9</v>
      </c>
      <c r="F3" s="76" t="s">
        <v>41</v>
      </c>
      <c r="G3" s="93" t="s">
        <v>42</v>
      </c>
      <c r="H3" s="96" t="s">
        <v>12</v>
      </c>
      <c r="I3" s="100" t="s">
        <v>13</v>
      </c>
      <c r="J3" s="96" t="s">
        <v>14</v>
      </c>
      <c r="K3" s="96" t="s">
        <v>15</v>
      </c>
      <c r="L3" s="76" t="s">
        <v>16</v>
      </c>
      <c r="M3" s="93" t="s">
        <v>17</v>
      </c>
      <c r="N3" s="93" t="s">
        <v>18</v>
      </c>
      <c r="O3" s="111" t="s">
        <v>19</v>
      </c>
      <c r="P3" s="115" t="s">
        <v>20</v>
      </c>
      <c r="Q3" s="64" t="s">
        <v>360</v>
      </c>
      <c r="R3" s="64" t="s">
        <v>45</v>
      </c>
      <c r="S3" s="64" t="s">
        <v>46</v>
      </c>
      <c r="T3" s="64" t="s">
        <v>47</v>
      </c>
      <c r="U3" s="64" t="s">
        <v>48</v>
      </c>
      <c r="V3" s="64" t="s">
        <v>49</v>
      </c>
      <c r="W3" s="64" t="s">
        <v>50</v>
      </c>
      <c r="X3" s="64" t="s">
        <v>51</v>
      </c>
      <c r="Y3" s="64" t="s">
        <v>52</v>
      </c>
      <c r="Z3" s="64" t="s">
        <v>53</v>
      </c>
      <c r="AA3" s="118" t="s">
        <v>54</v>
      </c>
      <c r="AB3" s="120" t="s">
        <v>44</v>
      </c>
    </row>
    <row customHeight="1" ht="43" r="4" s="307" spans="1:30">
      <c r="A4" s="121" t="n">
        <v>2015090841</v>
      </c>
      <c r="B4" s="122" t="s">
        <v>118</v>
      </c>
      <c r="C4" s="123" t="s">
        <v>119</v>
      </c>
      <c r="D4" s="124" t="s">
        <v>74</v>
      </c>
      <c r="E4" s="124" t="s">
        <v>120</v>
      </c>
      <c r="F4" s="124" t="s">
        <v>4</v>
      </c>
      <c r="G4" s="126" t="n">
        <v>39386</v>
      </c>
      <c r="H4" s="127" t="n">
        <v>138552.61</v>
      </c>
      <c r="I4" s="128" t="n">
        <v>0.10625</v>
      </c>
      <c r="J4" s="130" t="n">
        <v>1352.88</v>
      </c>
      <c r="K4" s="130" t="n">
        <v>733.86</v>
      </c>
      <c r="L4" s="125" t="n">
        <v>244</v>
      </c>
      <c r="M4" s="126" t="n">
        <v>41579</v>
      </c>
      <c r="N4" s="126" t="n">
        <v>41609</v>
      </c>
      <c r="O4" s="179" t="n">
        <v>29000</v>
      </c>
      <c r="P4" s="131" t="n">
        <v>13775</v>
      </c>
      <c r="Q4" s="66">
        <f>RATE(L4,-J4,P4)*12</f>
        <v/>
      </c>
      <c r="R4" s="67">
        <f>P4/O4</f>
        <v/>
      </c>
      <c r="S4" s="185">
        <f>P4/X4</f>
        <v/>
      </c>
      <c r="T4" s="306">
        <f>O4-H4</f>
        <v/>
      </c>
      <c r="U4" s="306" t="n">
        <v>67491</v>
      </c>
      <c r="V4" s="306" t="n"/>
      <c r="W4" s="306" t="n"/>
      <c r="X4" s="189">
        <f>AVERAGE(U4:W4)</f>
        <v/>
      </c>
      <c r="Y4" s="189">
        <f>Z4/0.01</f>
        <v/>
      </c>
      <c r="Z4" s="306" t="n">
        <v>950</v>
      </c>
      <c r="AA4" s="134" t="s">
        <v>361</v>
      </c>
      <c r="AB4" s="21" t="s">
        <v>24</v>
      </c>
    </row>
    <row customFormat="1" customHeight="1" ht="33" r="5" s="188" spans="1:30">
      <c r="A5" s="328" t="n">
        <v>2015090817</v>
      </c>
      <c r="B5" s="180" t="s">
        <v>153</v>
      </c>
      <c r="C5" s="181" t="s">
        <v>154</v>
      </c>
      <c r="D5" s="182" t="s">
        <v>155</v>
      </c>
      <c r="E5" s="182" t="s">
        <v>156</v>
      </c>
      <c r="F5" s="148" t="s">
        <v>4</v>
      </c>
      <c r="G5" s="155" t="n">
        <v>37232</v>
      </c>
      <c r="H5" s="332" t="n">
        <v>43993.78</v>
      </c>
      <c r="I5" s="151" t="n">
        <v>0.114</v>
      </c>
      <c r="J5" s="183" t="n">
        <v>468.73</v>
      </c>
      <c r="K5" s="183" t="n">
        <v>0</v>
      </c>
      <c r="L5" s="148" t="n">
        <v>171</v>
      </c>
      <c r="M5" s="155" t="n">
        <v>41791</v>
      </c>
      <c r="N5" s="155" t="n">
        <v>41821</v>
      </c>
      <c r="O5" s="332" t="n">
        <v>17000</v>
      </c>
      <c r="P5" s="157" t="n">
        <v>5150</v>
      </c>
      <c r="Q5" s="184">
        <f>RATE(L5,-J5,P5)*12</f>
        <v/>
      </c>
      <c r="R5" s="185">
        <f>P5/O5</f>
        <v/>
      </c>
      <c r="S5" s="185">
        <f>P5/X5</f>
        <v/>
      </c>
      <c r="T5" s="189">
        <f>O5-H5</f>
        <v/>
      </c>
      <c r="U5" s="189" t="n">
        <v>69726</v>
      </c>
      <c r="V5" s="189" t="n">
        <v>99000</v>
      </c>
      <c r="W5" s="189" t="n">
        <v>81170</v>
      </c>
      <c r="X5" s="189">
        <f>AVERAGE(U5:W5)</f>
        <v/>
      </c>
      <c r="Y5" s="189">
        <f>Z5/0.01</f>
        <v/>
      </c>
      <c r="Z5" s="189" t="n">
        <v>800</v>
      </c>
      <c r="AA5" s="186" t="s">
        <v>83</v>
      </c>
      <c r="AB5" s="187" t="s">
        <v>24</v>
      </c>
    </row>
    <row customHeight="1" ht="35" r="6" s="307" spans="1:30">
      <c r="A6" s="231" t="n">
        <v>2015090801</v>
      </c>
      <c r="B6" s="6" t="s">
        <v>166</v>
      </c>
      <c r="C6" s="192" t="s">
        <v>167</v>
      </c>
      <c r="D6" s="193" t="s">
        <v>106</v>
      </c>
      <c r="E6" s="193" t="s">
        <v>168</v>
      </c>
      <c r="F6" s="26" t="s">
        <v>4</v>
      </c>
      <c r="G6" s="27" t="n">
        <v>39898</v>
      </c>
      <c r="H6" s="50" t="n">
        <v>102649.1</v>
      </c>
      <c r="I6" s="47" t="n">
        <v>0.05</v>
      </c>
      <c r="J6" s="15" t="n">
        <v>553.04</v>
      </c>
      <c r="K6" s="15" t="n">
        <v>305.03</v>
      </c>
      <c r="L6" s="26" t="n">
        <v>282</v>
      </c>
      <c r="M6" s="27" t="n">
        <v>39995</v>
      </c>
      <c r="N6" s="27" t="n">
        <v>40026</v>
      </c>
      <c r="O6" s="50" t="n">
        <v>23500</v>
      </c>
      <c r="P6" s="116" t="n">
        <v>7050</v>
      </c>
      <c r="Q6" s="66">
        <f>RATE(L6,-J6,P6)*12</f>
        <v/>
      </c>
      <c r="R6" s="67">
        <f>P6/O6</f>
        <v/>
      </c>
      <c r="S6" s="185">
        <f>P6/X6</f>
        <v/>
      </c>
      <c r="T6" s="306">
        <f>O6-H6</f>
        <v/>
      </c>
      <c r="U6" s="189" t="n">
        <v>69726</v>
      </c>
      <c r="V6" s="306" t="n"/>
      <c r="W6" s="306" t="n"/>
      <c r="X6" s="189">
        <f>AVERAGE(U6:W6)</f>
        <v/>
      </c>
      <c r="Y6" s="189">
        <f>Z6/0.01</f>
        <v/>
      </c>
      <c r="Z6" s="306" t="n"/>
      <c r="AA6" s="134" t="s">
        <v>174</v>
      </c>
      <c r="AB6" s="21" t="s">
        <v>24</v>
      </c>
    </row>
    <row customHeight="1" ht="20.25" r="7" s="307" spans="1:30">
      <c r="A7" s="231" t="n">
        <v>2015090802</v>
      </c>
      <c r="B7" s="6" t="s">
        <v>362</v>
      </c>
      <c r="C7" s="9" t="s">
        <v>363</v>
      </c>
      <c r="D7" s="4" t="s">
        <v>141</v>
      </c>
      <c r="E7" s="4" t="s">
        <v>364</v>
      </c>
      <c r="F7" s="26" t="s">
        <v>4</v>
      </c>
      <c r="G7" s="27" t="n">
        <v>39398</v>
      </c>
      <c r="H7" s="50" t="n">
        <v>60237.48</v>
      </c>
      <c r="I7" s="47" t="n">
        <v>0.07000000000000001</v>
      </c>
      <c r="J7" s="15" t="n">
        <v>410.57</v>
      </c>
      <c r="K7" s="15" t="n">
        <v>132.38</v>
      </c>
      <c r="L7" s="26" t="n">
        <v>266</v>
      </c>
      <c r="M7" s="27" t="n">
        <v>40238</v>
      </c>
      <c r="N7" s="25" t="n">
        <v>40269</v>
      </c>
      <c r="O7" s="295" t="n">
        <v>17500</v>
      </c>
      <c r="P7" s="20" t="n">
        <v>5250</v>
      </c>
      <c r="Q7" s="66">
        <f>RATE(L7,-J7,P7)*12</f>
        <v/>
      </c>
      <c r="R7" s="67">
        <f>P7/O7</f>
        <v/>
      </c>
      <c r="S7" s="185">
        <f>P7/X7</f>
        <v/>
      </c>
      <c r="T7" s="306">
        <f>O7-H7</f>
        <v/>
      </c>
      <c r="U7" s="189" t="n">
        <v>69726</v>
      </c>
      <c r="V7" s="306" t="n"/>
      <c r="W7" s="306" t="n"/>
      <c r="X7" s="189">
        <f>AVERAGE(U7:W7)</f>
        <v/>
      </c>
      <c r="Y7" s="189">
        <f>Z7/0.01</f>
        <v/>
      </c>
      <c r="Z7" s="306" t="n"/>
      <c r="AA7" s="134" t="s">
        <v>57</v>
      </c>
      <c r="AB7" s="21" t="s">
        <v>24</v>
      </c>
    </row>
    <row customHeight="1" ht="20" r="8" s="307" spans="1:30">
      <c r="A8" s="231" t="n">
        <v>2015090843</v>
      </c>
      <c r="B8" s="6" t="s">
        <v>365</v>
      </c>
      <c r="C8" s="9" t="s">
        <v>366</v>
      </c>
      <c r="D8" s="4" t="s">
        <v>28</v>
      </c>
      <c r="E8" s="4" t="s">
        <v>367</v>
      </c>
      <c r="F8" s="26" t="s">
        <v>4</v>
      </c>
      <c r="G8" s="27" t="n">
        <v>39203</v>
      </c>
      <c r="H8" s="50" t="n">
        <v>58846.04</v>
      </c>
      <c r="I8" s="47" t="n">
        <v>0.106</v>
      </c>
      <c r="J8" s="15" t="n">
        <v>620.6</v>
      </c>
      <c r="K8" s="15" t="n">
        <v>1.32</v>
      </c>
      <c r="L8" s="26" t="n">
        <v>180</v>
      </c>
      <c r="M8" s="27" t="n">
        <v>41426</v>
      </c>
      <c r="N8" s="25" t="n">
        <v>41456</v>
      </c>
      <c r="O8" s="295" t="n">
        <v>25000</v>
      </c>
      <c r="P8" s="20" t="n">
        <v>10000</v>
      </c>
      <c r="Q8" s="66">
        <f>RATE(L8,-J8,P8)*12</f>
        <v/>
      </c>
      <c r="R8" s="67">
        <f>P8/O8</f>
        <v/>
      </c>
      <c r="S8" s="185">
        <f>P8/X8</f>
        <v/>
      </c>
      <c r="T8" s="306">
        <f>O8-H8</f>
        <v/>
      </c>
      <c r="U8" s="189" t="n">
        <v>69726</v>
      </c>
      <c r="V8" s="306" t="n"/>
      <c r="W8" s="306" t="n"/>
      <c r="X8" s="189">
        <f>AVERAGE(U8:W8)</f>
        <v/>
      </c>
      <c r="Y8" s="189">
        <f>Z8/0.01</f>
        <v/>
      </c>
      <c r="Z8" s="306" t="n"/>
      <c r="AA8" s="134" t="s">
        <v>57</v>
      </c>
      <c r="AB8" s="21" t="s">
        <v>24</v>
      </c>
    </row>
    <row customHeight="1" ht="17" r="9" s="307" spans="1:30">
      <c r="A9" s="328" t="n">
        <v>2015062911</v>
      </c>
      <c r="B9" s="194" t="s">
        <v>368</v>
      </c>
      <c r="C9" s="195" t="s">
        <v>369</v>
      </c>
      <c r="D9" s="148" t="s">
        <v>2</v>
      </c>
      <c r="E9" s="148" t="n">
        <v>47601</v>
      </c>
      <c r="F9" s="148" t="s">
        <v>4</v>
      </c>
      <c r="G9" s="155" t="n">
        <v>41368</v>
      </c>
      <c r="H9" s="332" t="n">
        <v>40000</v>
      </c>
      <c r="I9" s="151" t="n">
        <v>0.1</v>
      </c>
      <c r="J9" s="183" t="n">
        <v>351.03</v>
      </c>
      <c r="K9" s="183" t="n">
        <v>116</v>
      </c>
      <c r="L9" s="148" t="n">
        <v>330</v>
      </c>
      <c r="M9" s="155" t="n">
        <v>41426</v>
      </c>
      <c r="N9" s="155" t="n">
        <v>41456</v>
      </c>
      <c r="O9" s="183" t="n">
        <v>18400</v>
      </c>
      <c r="P9" s="196" t="n">
        <v>9000</v>
      </c>
      <c r="Q9" s="66">
        <f>RATE(L9,-J9,P9)*12</f>
        <v/>
      </c>
      <c r="R9" s="67">
        <f>P9/O9</f>
        <v/>
      </c>
      <c r="S9" s="185">
        <f>P9/X9</f>
        <v/>
      </c>
      <c r="T9" s="306">
        <f>O9-H9</f>
        <v/>
      </c>
      <c r="U9" s="189" t="n">
        <v>69726</v>
      </c>
      <c r="V9" s="306" t="n"/>
      <c r="W9" s="306" t="n"/>
      <c r="X9" s="189">
        <f>AVERAGE(U9:W9)</f>
        <v/>
      </c>
      <c r="Y9" s="189">
        <f>Z9/0.01</f>
        <v/>
      </c>
      <c r="Z9" s="306" t="n"/>
      <c r="AA9" s="135" t="s">
        <v>370</v>
      </c>
      <c r="AB9" s="21" t="s">
        <v>24</v>
      </c>
    </row>
    <row customFormat="1" customHeight="1" ht="48" r="10" s="202" spans="1:30">
      <c r="A10" s="121" t="n">
        <v>2015090839</v>
      </c>
      <c r="B10" s="122" t="s">
        <v>67</v>
      </c>
      <c r="C10" s="123" t="s">
        <v>68</v>
      </c>
      <c r="D10" s="124" t="s">
        <v>69</v>
      </c>
      <c r="E10" s="124" t="s">
        <v>70</v>
      </c>
      <c r="F10" s="125" t="s">
        <v>4</v>
      </c>
      <c r="G10" s="126" t="n">
        <v>39139</v>
      </c>
      <c r="H10" s="127" t="n">
        <v>49692.33</v>
      </c>
      <c r="I10" s="128" t="n">
        <v>0.0512</v>
      </c>
      <c r="J10" s="130" t="n">
        <v>498.82</v>
      </c>
      <c r="K10" s="130" t="n">
        <v>0</v>
      </c>
      <c r="L10" s="125" t="n">
        <v>233</v>
      </c>
      <c r="M10" s="126" t="n">
        <v>42036</v>
      </c>
      <c r="N10" s="126" t="n">
        <v>42064</v>
      </c>
      <c r="O10" s="127" t="n">
        <v>32500</v>
      </c>
      <c r="P10" s="131" t="n">
        <v>13815</v>
      </c>
      <c r="Q10" s="197">
        <f>RATE(L10,-J10,P10)*12</f>
        <v/>
      </c>
      <c r="R10" s="198">
        <f>P10/O10</f>
        <v/>
      </c>
      <c r="S10" s="198">
        <f>P10/X10</f>
        <v/>
      </c>
      <c r="T10" s="199">
        <f>O10-H10</f>
        <v/>
      </c>
      <c r="U10" s="199" t="n">
        <v>69726</v>
      </c>
      <c r="V10" s="199" t="n">
        <v>43000</v>
      </c>
      <c r="W10" s="199" t="n">
        <v>51000</v>
      </c>
      <c r="X10" s="199">
        <f>AVERAGE(U10:W10)</f>
        <v/>
      </c>
      <c r="Y10" s="199">
        <f>Z10/0.01</f>
        <v/>
      </c>
      <c r="Z10" s="199" t="n">
        <v>1080</v>
      </c>
      <c r="AA10" s="200" t="s">
        <v>371</v>
      </c>
      <c r="AB10" s="201" t="s">
        <v>24</v>
      </c>
    </row>
    <row customHeight="1" ht="20.25" r="11" s="307" spans="1:30">
      <c r="A11" s="231" t="n">
        <v>2015090833</v>
      </c>
      <c r="B11" s="2" t="s">
        <v>72</v>
      </c>
      <c r="C11" s="9" t="s">
        <v>73</v>
      </c>
      <c r="D11" s="4" t="s">
        <v>74</v>
      </c>
      <c r="E11" s="4" t="s">
        <v>75</v>
      </c>
      <c r="F11" s="4" t="s">
        <v>76</v>
      </c>
      <c r="G11" s="27" t="n">
        <v>38026</v>
      </c>
      <c r="H11" s="50" t="n">
        <v>42904.29</v>
      </c>
      <c r="I11" s="47" t="n">
        <v>0.10375</v>
      </c>
      <c r="J11" s="15" t="n">
        <v>676.63</v>
      </c>
      <c r="K11" s="15" t="n">
        <v>254.46</v>
      </c>
      <c r="L11" s="26" t="n">
        <v>221</v>
      </c>
      <c r="M11" s="27" t="n">
        <v>41548</v>
      </c>
      <c r="N11" s="25" t="n">
        <v>41579</v>
      </c>
      <c r="O11" s="17" t="n">
        <v>40000</v>
      </c>
      <c r="P11" s="20" t="n">
        <v>19400</v>
      </c>
      <c r="Q11" s="66">
        <f>RATE(L11,-J11,P11)*12</f>
        <v/>
      </c>
      <c r="R11" s="67">
        <f>P11/O11</f>
        <v/>
      </c>
      <c r="S11" s="67" t="n"/>
      <c r="T11" s="306">
        <f>O11-H11</f>
        <v/>
      </c>
      <c r="U11" s="306" t="n">
        <v>45986</v>
      </c>
      <c r="V11" s="306" t="n">
        <v>36000</v>
      </c>
      <c r="W11" s="306" t="n">
        <v>44000</v>
      </c>
      <c r="X11" s="199">
        <f>AVERAGE(U11:W11)</f>
        <v/>
      </c>
      <c r="Y11" s="199">
        <f>Z11/0.01</f>
        <v/>
      </c>
      <c r="Z11" s="306" t="n">
        <v>700</v>
      </c>
      <c r="AA11" s="134" t="s">
        <v>57</v>
      </c>
      <c r="AB11" s="21" t="s">
        <v>24</v>
      </c>
    </row>
    <row customHeight="1" ht="20.25" r="12" s="307" spans="1:30">
      <c r="A12" s="231" t="n">
        <v>2015090842</v>
      </c>
      <c r="B12" s="2" t="s">
        <v>182</v>
      </c>
      <c r="C12" s="9" t="s">
        <v>183</v>
      </c>
      <c r="D12" s="4" t="s">
        <v>69</v>
      </c>
      <c r="E12" s="4" t="s">
        <v>184</v>
      </c>
      <c r="F12" s="4" t="s">
        <v>185</v>
      </c>
      <c r="G12" s="27" t="n">
        <v>39391</v>
      </c>
      <c r="H12" s="50" t="n">
        <v>49370.52</v>
      </c>
      <c r="I12" s="47" t="n">
        <v>0.10375</v>
      </c>
      <c r="J12" s="15" t="n">
        <v>461.76</v>
      </c>
      <c r="K12" s="15" t="n">
        <v>0</v>
      </c>
      <c r="L12" s="26" t="n">
        <v>265</v>
      </c>
      <c r="M12" s="27" t="n">
        <v>41883</v>
      </c>
      <c r="N12" s="25" t="n">
        <v>41913</v>
      </c>
      <c r="O12" s="17" t="n">
        <v>28000</v>
      </c>
      <c r="P12" s="20" t="n">
        <v>13300</v>
      </c>
      <c r="Q12" s="66">
        <f>RATE(L12,-J12,P12)*12</f>
        <v/>
      </c>
      <c r="R12" s="67">
        <f>P12/O12</f>
        <v/>
      </c>
      <c r="S12" s="67" t="n"/>
      <c r="T12" s="306">
        <f>O12-H12</f>
        <v/>
      </c>
      <c r="U12" s="306" t="n"/>
      <c r="V12" s="306" t="n"/>
      <c r="W12" s="306" t="n"/>
      <c r="X12" s="199">
        <f>AVERAGE(U12:W12)</f>
        <v/>
      </c>
      <c r="Y12" s="199">
        <f>Z12/0.01</f>
        <v/>
      </c>
      <c r="Z12" s="306" t="n"/>
      <c r="AA12" s="134" t="s">
        <v>372</v>
      </c>
      <c r="AB12" s="21" t="s">
        <v>24</v>
      </c>
    </row>
    <row customHeight="1" ht="20.25" r="13" s="307" spans="1:30">
      <c r="A13" s="328" t="n">
        <v>2015062905</v>
      </c>
      <c r="B13" s="194" t="s">
        <v>373</v>
      </c>
      <c r="C13" s="195" t="s">
        <v>374</v>
      </c>
      <c r="D13" s="148" t="s">
        <v>228</v>
      </c>
      <c r="E13" s="148" t="n">
        <v>35215</v>
      </c>
      <c r="F13" s="148" t="s">
        <v>4</v>
      </c>
      <c r="G13" s="155" t="n">
        <v>40850</v>
      </c>
      <c r="H13" s="332" t="n">
        <v>70711.34</v>
      </c>
      <c r="I13" s="151" t="n">
        <v>0.1</v>
      </c>
      <c r="J13" s="183" t="n">
        <v>601.14</v>
      </c>
      <c r="K13" s="183" t="n">
        <v>93</v>
      </c>
      <c r="L13" s="148" t="n">
        <v>313</v>
      </c>
      <c r="M13" s="155" t="n">
        <v>41456</v>
      </c>
      <c r="N13" s="155" t="n">
        <v>41487</v>
      </c>
      <c r="O13" s="183" t="n">
        <v>44900</v>
      </c>
      <c r="P13" s="157" t="n">
        <v>20205</v>
      </c>
      <c r="Q13" s="66">
        <f>RATE(L13,-J13,P13)*12</f>
        <v/>
      </c>
      <c r="R13" s="67">
        <f>P13/O13</f>
        <v/>
      </c>
      <c r="S13" s="67" t="n"/>
      <c r="T13" s="306">
        <f>O13-H13</f>
        <v/>
      </c>
      <c r="U13" s="306" t="n">
        <v>65094</v>
      </c>
      <c r="V13" s="306" t="n">
        <v>87000</v>
      </c>
      <c r="W13" s="306" t="n">
        <v>63000</v>
      </c>
      <c r="X13" s="199">
        <f>AVERAGE(U13:W13)</f>
        <v/>
      </c>
      <c r="Y13" s="199">
        <f>Z13/0.01</f>
        <v/>
      </c>
      <c r="Z13" s="306" t="n">
        <v>800</v>
      </c>
      <c r="AA13" s="134" t="s">
        <v>86</v>
      </c>
      <c r="AB13" s="21" t="s">
        <v>24</v>
      </c>
    </row>
    <row customHeight="1" ht="20.25" r="14" s="307" spans="1:30">
      <c r="A14" s="328" t="n">
        <v>2015062913</v>
      </c>
      <c r="B14" s="203" t="s">
        <v>375</v>
      </c>
      <c r="C14" s="204" t="s">
        <v>376</v>
      </c>
      <c r="D14" s="205" t="s">
        <v>377</v>
      </c>
      <c r="E14" s="205" t="n">
        <v>71282</v>
      </c>
      <c r="F14" s="148" t="s">
        <v>4</v>
      </c>
      <c r="G14" s="155" t="n">
        <v>36780</v>
      </c>
      <c r="H14" s="332" t="n">
        <v>26696.51</v>
      </c>
      <c r="I14" s="151" t="n">
        <v>0.08</v>
      </c>
      <c r="J14" s="183" t="n">
        <v>249.35</v>
      </c>
      <c r="K14" s="183" t="n">
        <v>0</v>
      </c>
      <c r="L14" s="148" t="n">
        <v>207</v>
      </c>
      <c r="M14" s="155" t="n">
        <v>41287</v>
      </c>
      <c r="N14" s="155" t="n">
        <v>41318</v>
      </c>
      <c r="O14" s="183" t="n">
        <v>24500</v>
      </c>
      <c r="P14" s="157" t="n">
        <v>8578</v>
      </c>
      <c r="Q14" s="66">
        <f>RATE(L14,-J14,P14)*12</f>
        <v/>
      </c>
      <c r="R14" s="67">
        <f>P14/O14</f>
        <v/>
      </c>
      <c r="S14" s="67" t="n"/>
      <c r="T14" s="306">
        <f>O14-H14</f>
        <v/>
      </c>
      <c r="U14" s="306" t="n">
        <v>121580</v>
      </c>
      <c r="V14" s="306" t="n"/>
      <c r="W14" s="306" t="n"/>
      <c r="X14" s="199">
        <f>AVERAGE(U14:W14)</f>
        <v/>
      </c>
      <c r="Y14" s="199">
        <f>Z14/0.01</f>
        <v/>
      </c>
      <c r="Z14" s="306" t="n">
        <v>1000</v>
      </c>
      <c r="AA14" s="134" t="s">
        <v>86</v>
      </c>
      <c r="AB14" s="21" t="s">
        <v>24</v>
      </c>
    </row>
    <row customHeight="1" ht="20.25" r="15" s="307" spans="1:30">
      <c r="A15" s="231" t="n">
        <v>2015090846</v>
      </c>
      <c r="B15" s="6" t="s">
        <v>158</v>
      </c>
      <c r="C15" s="9" t="s">
        <v>159</v>
      </c>
      <c r="D15" s="4" t="s">
        <v>2</v>
      </c>
      <c r="E15" s="4" t="s">
        <v>160</v>
      </c>
      <c r="F15" s="26" t="s">
        <v>4</v>
      </c>
      <c r="G15" s="27" t="n">
        <v>38566</v>
      </c>
      <c r="H15" s="50" t="n">
        <v>84700.95</v>
      </c>
      <c r="I15" s="47" t="n">
        <v>0.0725</v>
      </c>
      <c r="J15" s="15" t="n">
        <v>570.03</v>
      </c>
      <c r="K15" s="15" t="n">
        <v>0</v>
      </c>
      <c r="L15" s="26" t="n">
        <v>239</v>
      </c>
      <c r="M15" s="27" t="n">
        <v>40483</v>
      </c>
      <c r="N15" s="25" t="n">
        <v>40513</v>
      </c>
      <c r="O15" s="50" t="n">
        <v>42000</v>
      </c>
      <c r="P15" s="116" t="n">
        <v>19950</v>
      </c>
      <c r="Q15" s="66">
        <f>RATE(L15,-J15,P15)*12</f>
        <v/>
      </c>
      <c r="R15" s="67">
        <f>P15/O15</f>
        <v/>
      </c>
      <c r="S15" s="67" t="n"/>
      <c r="T15" s="306">
        <f>O15-H15</f>
        <v/>
      </c>
      <c r="U15" s="306" t="n">
        <v>85465</v>
      </c>
      <c r="V15" s="306" t="n"/>
      <c r="W15" s="306" t="n">
        <v>66810</v>
      </c>
      <c r="X15" s="199">
        <f>AVERAGE(U15:W15)</f>
        <v/>
      </c>
      <c r="Y15" s="199">
        <f>Z15/0.01</f>
        <v/>
      </c>
      <c r="Z15" s="306" t="n">
        <v>1150</v>
      </c>
      <c r="AA15" s="136" t="s">
        <v>378</v>
      </c>
      <c r="AB15" s="43" t="s">
        <v>24</v>
      </c>
    </row>
    <row customHeight="1" ht="20.25" r="16" s="307" spans="1:30">
      <c r="A16" s="121" t="n">
        <v>2015090815</v>
      </c>
      <c r="B16" s="122" t="s">
        <v>379</v>
      </c>
      <c r="C16" s="123" t="s">
        <v>380</v>
      </c>
      <c r="D16" s="124" t="s">
        <v>377</v>
      </c>
      <c r="E16" s="124" t="s">
        <v>381</v>
      </c>
      <c r="F16" s="125" t="s">
        <v>4</v>
      </c>
      <c r="G16" s="126" t="n">
        <v>38268</v>
      </c>
      <c r="H16" s="127" t="n">
        <v>47680.6</v>
      </c>
      <c r="I16" s="128" t="n">
        <v>0.08749999999999999</v>
      </c>
      <c r="J16" s="130" t="n">
        <v>409.08</v>
      </c>
      <c r="K16" s="130" t="n">
        <v>93.48999999999999</v>
      </c>
      <c r="L16" s="125" t="n">
        <v>229</v>
      </c>
      <c r="M16" s="126" t="n">
        <v>41791</v>
      </c>
      <c r="N16" s="126" t="n">
        <v>41821</v>
      </c>
      <c r="O16" s="127" t="n">
        <v>31000</v>
      </c>
      <c r="P16" s="131" t="n">
        <v>15150</v>
      </c>
      <c r="Q16" s="66">
        <f>RATE(L16,-J16,P16)*12</f>
        <v/>
      </c>
      <c r="R16" s="67">
        <f>P16/O16</f>
        <v/>
      </c>
      <c r="S16" s="67" t="n"/>
      <c r="T16" s="306">
        <f>O16-H16</f>
        <v/>
      </c>
      <c r="U16" s="306" t="n"/>
      <c r="V16" s="306" t="n"/>
      <c r="W16" s="306" t="n"/>
      <c r="X16" s="199">
        <f>AVERAGE(U16:W16)</f>
        <v/>
      </c>
      <c r="Y16" s="199">
        <f>Z16/0.01</f>
        <v/>
      </c>
      <c r="Z16" s="306" t="n"/>
      <c r="AA16" s="325" t="n"/>
      <c r="AB16" s="43" t="s">
        <v>24</v>
      </c>
    </row>
    <row customHeight="1" ht="20.25" r="17" s="307" spans="1:30">
      <c r="A17" s="328" t="n">
        <v>2015062910</v>
      </c>
      <c r="B17" s="164" t="s">
        <v>108</v>
      </c>
      <c r="C17" s="206" t="s">
        <v>109</v>
      </c>
      <c r="D17" s="147" t="s">
        <v>2</v>
      </c>
      <c r="E17" s="147" t="n">
        <v>47995</v>
      </c>
      <c r="F17" s="148" t="s">
        <v>4</v>
      </c>
      <c r="G17" s="155" t="n">
        <v>40660</v>
      </c>
      <c r="H17" s="332" t="n">
        <v>33178.74</v>
      </c>
      <c r="I17" s="151" t="n">
        <v>0.1</v>
      </c>
      <c r="J17" s="183" t="n">
        <v>296.96</v>
      </c>
      <c r="K17" s="183" t="n">
        <v>132</v>
      </c>
      <c r="L17" s="148" t="n">
        <v>306</v>
      </c>
      <c r="M17" s="155" t="n">
        <v>41667</v>
      </c>
      <c r="N17" s="155" t="n">
        <v>41698</v>
      </c>
      <c r="O17" s="183" t="n">
        <v>25700</v>
      </c>
      <c r="P17" s="196" t="n">
        <v>11565</v>
      </c>
      <c r="Q17" s="66">
        <f>RATE(L17,-J17,P17)*12</f>
        <v/>
      </c>
      <c r="R17" s="67">
        <f>P17/O17</f>
        <v/>
      </c>
      <c r="S17" s="67" t="n"/>
      <c r="T17" s="306">
        <f>O17-H17</f>
        <v/>
      </c>
      <c r="U17" s="306" t="n"/>
      <c r="V17" s="306" t="n"/>
      <c r="W17" s="306" t="n"/>
      <c r="X17" s="199">
        <f>AVERAGE(U17:W17)</f>
        <v/>
      </c>
      <c r="Y17" s="199">
        <f>Z17/0.01</f>
        <v/>
      </c>
      <c r="Z17" s="306" t="n"/>
      <c r="AA17" s="138" t="n"/>
      <c r="AB17" s="43" t="s">
        <v>24</v>
      </c>
    </row>
    <row customHeight="1" ht="20.25" r="18" s="307" spans="1:30">
      <c r="A18" s="231" t="n">
        <v>2015062908</v>
      </c>
      <c r="B18" s="12" t="s">
        <v>180</v>
      </c>
      <c r="C18" s="7" t="s">
        <v>181</v>
      </c>
      <c r="D18" s="3" t="s">
        <v>89</v>
      </c>
      <c r="E18" s="3" t="n">
        <v>28039</v>
      </c>
      <c r="F18" s="26" t="s">
        <v>4</v>
      </c>
      <c r="G18" s="27" t="n">
        <v>40750</v>
      </c>
      <c r="H18" s="50" t="n">
        <v>34163.67</v>
      </c>
      <c r="I18" s="47" t="n">
        <v>0.1</v>
      </c>
      <c r="J18" s="15" t="n">
        <v>300.35</v>
      </c>
      <c r="K18" s="15" t="n">
        <v>51.4</v>
      </c>
      <c r="L18" s="26" t="n">
        <v>309</v>
      </c>
      <c r="M18" s="27" t="n">
        <v>41030</v>
      </c>
      <c r="N18" s="25" t="n">
        <v>41061</v>
      </c>
      <c r="O18" s="5" t="n">
        <v>22400</v>
      </c>
      <c r="P18" s="18" t="n">
        <v>11760</v>
      </c>
      <c r="Q18" s="66">
        <f>RATE(L18,-J18,P18)*12</f>
        <v/>
      </c>
      <c r="R18" s="67">
        <f>P18/O18</f>
        <v/>
      </c>
      <c r="S18" s="67" t="n"/>
      <c r="T18" s="306">
        <f>O18-H18</f>
        <v/>
      </c>
      <c r="U18" s="306" t="n"/>
      <c r="V18" s="306" t="n"/>
      <c r="W18" s="306" t="n"/>
      <c r="X18" s="199">
        <f>AVERAGE(U18:W18)</f>
        <v/>
      </c>
      <c r="Y18" s="199">
        <f>Z18/0.01</f>
        <v/>
      </c>
      <c r="Z18" s="306" t="n"/>
      <c r="AA18" s="138" t="n"/>
      <c r="AB18" s="43" t="s">
        <v>24</v>
      </c>
    </row>
    <row customHeight="1" ht="20.25" r="19" s="307" spans="1:30">
      <c r="A19" s="231" t="n">
        <v>2015062912</v>
      </c>
      <c r="B19" s="12" t="s">
        <v>382</v>
      </c>
      <c r="C19" s="7" t="s">
        <v>383</v>
      </c>
      <c r="D19" s="3" t="s">
        <v>28</v>
      </c>
      <c r="E19" s="3" t="n">
        <v>43932</v>
      </c>
      <c r="F19" s="26" t="s">
        <v>4</v>
      </c>
      <c r="G19" s="27" t="n">
        <v>41187</v>
      </c>
      <c r="H19" s="50" t="n">
        <v>34225</v>
      </c>
      <c r="I19" s="47" t="n">
        <v>0.1</v>
      </c>
      <c r="J19" s="15" t="n">
        <v>300.35</v>
      </c>
      <c r="K19" s="15" t="n">
        <v>39</v>
      </c>
      <c r="L19" s="26" t="n">
        <v>324</v>
      </c>
      <c r="M19" s="27" t="n">
        <v>41456</v>
      </c>
      <c r="N19" s="25" t="n">
        <v>41487</v>
      </c>
      <c r="O19" s="5" t="n">
        <v>43000</v>
      </c>
      <c r="P19" s="18" t="n">
        <v>11980</v>
      </c>
      <c r="Q19" s="66">
        <f>RATE(L19,-J19,P19)*12</f>
        <v/>
      </c>
      <c r="R19" s="67">
        <f>P19/O19</f>
        <v/>
      </c>
      <c r="S19" s="67" t="n"/>
      <c r="T19" s="306">
        <f>O19-H19</f>
        <v/>
      </c>
      <c r="U19" s="306" t="n"/>
      <c r="V19" s="306" t="n"/>
      <c r="W19" s="306" t="n"/>
      <c r="X19" s="199">
        <f>AVERAGE(U19:W19)</f>
        <v/>
      </c>
      <c r="Y19" s="199">
        <f>Z19/0.01</f>
        <v/>
      </c>
      <c r="Z19" s="306" t="n"/>
      <c r="AA19" s="138" t="n"/>
      <c r="AB19" s="43" t="s">
        <v>24</v>
      </c>
    </row>
    <row customHeight="1" ht="20.25" r="20" s="307" spans="1:30">
      <c r="A20" s="231" t="n">
        <v>2015062907</v>
      </c>
      <c r="B20" s="12" t="s">
        <v>384</v>
      </c>
      <c r="C20" s="80" t="s">
        <v>385</v>
      </c>
      <c r="D20" s="3" t="s">
        <v>2</v>
      </c>
      <c r="E20" s="3" t="n">
        <v>46953</v>
      </c>
      <c r="F20" s="26" t="s">
        <v>4</v>
      </c>
      <c r="G20" s="27" t="n">
        <v>40542</v>
      </c>
      <c r="H20" s="50" t="n">
        <v>30441.88</v>
      </c>
      <c r="I20" s="47" t="n">
        <v>0.1</v>
      </c>
      <c r="J20" s="16" t="n">
        <v>299.16</v>
      </c>
      <c r="K20" s="16" t="n">
        <v>75</v>
      </c>
      <c r="L20" s="29" t="n">
        <v>303</v>
      </c>
      <c r="M20" s="27" t="n">
        <v>40940</v>
      </c>
      <c r="N20" s="25" t="n">
        <v>40969</v>
      </c>
      <c r="O20" s="5" t="n">
        <v>33900</v>
      </c>
      <c r="P20" s="20" t="n">
        <v>12175</v>
      </c>
      <c r="Q20" s="66">
        <f>RATE(L20,-J20,P20)*12</f>
        <v/>
      </c>
      <c r="R20" s="67">
        <f>P20/O20</f>
        <v/>
      </c>
      <c r="S20" s="67" t="n"/>
      <c r="T20" s="306">
        <f>O20-H20</f>
        <v/>
      </c>
      <c r="U20" s="306" t="n"/>
      <c r="V20" s="306" t="n"/>
      <c r="W20" s="306" t="n"/>
      <c r="X20" s="199">
        <f>AVERAGE(U20:W20)</f>
        <v/>
      </c>
      <c r="Y20" s="199">
        <f>Z20/0.01</f>
        <v/>
      </c>
      <c r="Z20" s="306" t="n"/>
      <c r="AA20" s="325" t="n"/>
      <c r="AB20" s="43" t="s">
        <v>24</v>
      </c>
    </row>
    <row customHeight="1" ht="20.25" r="21" s="307" spans="1:30">
      <c r="A21" s="231" t="n">
        <v>2015090819</v>
      </c>
      <c r="B21" s="6" t="s">
        <v>386</v>
      </c>
      <c r="C21" s="10" t="s">
        <v>387</v>
      </c>
      <c r="D21" s="4" t="s">
        <v>228</v>
      </c>
      <c r="E21" s="4" t="s">
        <v>388</v>
      </c>
      <c r="F21" s="26" t="s">
        <v>4</v>
      </c>
      <c r="G21" s="25" t="n">
        <v>38161</v>
      </c>
      <c r="H21" s="50" t="n">
        <v>57683.53</v>
      </c>
      <c r="I21" s="47" t="n">
        <v>0.0888</v>
      </c>
      <c r="J21" s="16" t="n">
        <v>509.21</v>
      </c>
      <c r="K21" s="16" t="n">
        <v>0</v>
      </c>
      <c r="L21" s="29" t="n">
        <v>220</v>
      </c>
      <c r="M21" s="27" t="n">
        <v>41791</v>
      </c>
      <c r="N21" s="25" t="n">
        <v>41821</v>
      </c>
      <c r="O21" s="295" t="n">
        <v>50000</v>
      </c>
      <c r="P21" s="20" t="n">
        <v>24250</v>
      </c>
      <c r="Q21" s="66">
        <f>RATE(L21,-J21,P21)*12</f>
        <v/>
      </c>
      <c r="R21" s="67">
        <f>P21/O21</f>
        <v/>
      </c>
      <c r="S21" s="67" t="n"/>
      <c r="T21" s="306">
        <f>O21-H21</f>
        <v/>
      </c>
      <c r="U21" s="306" t="n"/>
      <c r="V21" s="306" t="n"/>
      <c r="W21" s="306" t="n"/>
      <c r="X21" s="199">
        <f>AVERAGE(U21:W21)</f>
        <v/>
      </c>
      <c r="Y21" s="199">
        <f>Z21/0.01</f>
        <v/>
      </c>
      <c r="Z21" s="306" t="n"/>
      <c r="AA21" s="134" t="n"/>
      <c r="AB21" s="21" t="s">
        <v>24</v>
      </c>
    </row>
    <row customHeight="1" ht="20.25" r="22" s="307" spans="1:30">
      <c r="A22" s="231" t="n">
        <v>2015062909</v>
      </c>
      <c r="B22" s="12" t="s">
        <v>389</v>
      </c>
      <c r="C22" s="80" t="s">
        <v>390</v>
      </c>
      <c r="D22" s="3" t="s">
        <v>23</v>
      </c>
      <c r="E22" s="3" t="n">
        <v>17901</v>
      </c>
      <c r="F22" s="26" t="s">
        <v>4</v>
      </c>
      <c r="G22" s="30" t="n">
        <v>40793</v>
      </c>
      <c r="H22" s="50" t="n">
        <v>42478.57</v>
      </c>
      <c r="I22" s="47" t="n">
        <v>0.1</v>
      </c>
      <c r="J22" s="16" t="n">
        <v>349.27</v>
      </c>
      <c r="K22" s="16" t="n">
        <v>200</v>
      </c>
      <c r="L22" s="29" t="n">
        <v>308</v>
      </c>
      <c r="M22" s="30" t="n">
        <v>41913</v>
      </c>
      <c r="N22" s="25" t="n">
        <v>41944</v>
      </c>
      <c r="O22" s="5" t="n">
        <v>45000</v>
      </c>
      <c r="P22" s="18" t="n">
        <v>16990</v>
      </c>
      <c r="Q22" s="66">
        <f>RATE(L22,-J22,P22)*12</f>
        <v/>
      </c>
      <c r="R22" s="67">
        <f>P22/O22</f>
        <v/>
      </c>
      <c r="S22" s="67" t="n"/>
      <c r="T22" s="306">
        <f>O22-H22</f>
        <v/>
      </c>
      <c r="U22" s="306" t="n"/>
      <c r="V22" s="306" t="n"/>
      <c r="W22" s="306" t="n"/>
      <c r="X22" s="199">
        <f>AVERAGE(U22:W22)</f>
        <v/>
      </c>
      <c r="Y22" s="199">
        <f>Z22/0.01</f>
        <v/>
      </c>
      <c r="Z22" s="306" t="n"/>
      <c r="AA22" s="135" t="n"/>
      <c r="AB22" s="21" t="s">
        <v>24</v>
      </c>
    </row>
    <row customHeight="1" ht="20.25" r="23" s="307" spans="1:30">
      <c r="A23" s="231" t="n">
        <v>2015090832</v>
      </c>
      <c r="B23" s="2" t="s">
        <v>58</v>
      </c>
      <c r="C23" s="10" t="s">
        <v>59</v>
      </c>
      <c r="D23" s="4" t="s">
        <v>60</v>
      </c>
      <c r="E23" s="4" t="s">
        <v>61</v>
      </c>
      <c r="F23" s="4" t="s">
        <v>4</v>
      </c>
      <c r="G23" s="30" t="n">
        <v>36974</v>
      </c>
      <c r="H23" s="50" t="n">
        <v>52674.32</v>
      </c>
      <c r="I23" s="47" t="n">
        <v>0.08</v>
      </c>
      <c r="J23" s="16" t="n">
        <v>478.86</v>
      </c>
      <c r="K23" s="16" t="n">
        <v>16.04</v>
      </c>
      <c r="L23" s="29" t="n">
        <v>186</v>
      </c>
      <c r="M23" s="30" t="n">
        <v>41487</v>
      </c>
      <c r="N23" s="25" t="n">
        <v>41518</v>
      </c>
      <c r="O23" s="17" t="n">
        <v>47000</v>
      </c>
      <c r="P23" s="20" t="n">
        <v>23325</v>
      </c>
      <c r="Q23" s="66">
        <f>RATE(L23,-J23,P23)*12</f>
        <v/>
      </c>
      <c r="R23" s="67">
        <f>P23/O23</f>
        <v/>
      </c>
      <c r="S23" s="67" t="n"/>
      <c r="T23" s="306">
        <f>O23-H23</f>
        <v/>
      </c>
      <c r="U23" s="306" t="n"/>
      <c r="V23" s="306" t="n"/>
      <c r="W23" s="306" t="n"/>
      <c r="X23" s="199">
        <f>AVERAGE(U23:W23)</f>
        <v/>
      </c>
      <c r="Y23" s="199">
        <f>Z23/0.01</f>
        <v/>
      </c>
      <c r="Z23" s="306" t="n"/>
      <c r="AA23" s="134" t="s">
        <v>391</v>
      </c>
      <c r="AB23" s="21" t="s">
        <v>24</v>
      </c>
    </row>
    <row customHeight="1" ht="13" r="24" s="307" spans="1:30">
      <c r="A24" s="231" t="n">
        <v>2015062903</v>
      </c>
      <c r="B24" s="12" t="s">
        <v>392</v>
      </c>
      <c r="C24" s="80" t="s">
        <v>393</v>
      </c>
      <c r="D24" s="3" t="s">
        <v>2</v>
      </c>
      <c r="E24" s="3" t="n">
        <v>46012</v>
      </c>
      <c r="F24" s="26" t="s">
        <v>4</v>
      </c>
      <c r="G24" s="30" t="n">
        <v>41295</v>
      </c>
      <c r="H24" s="50" t="n">
        <v>37162.68</v>
      </c>
      <c r="I24" s="47" t="n">
        <v>0.1</v>
      </c>
      <c r="J24" s="16" t="n">
        <v>326.68</v>
      </c>
      <c r="K24" s="16" t="n">
        <v>130</v>
      </c>
      <c r="L24" s="29" t="n">
        <v>303</v>
      </c>
      <c r="M24" s="30" t="n">
        <v>41532</v>
      </c>
      <c r="N24" s="25" t="n">
        <v>41562</v>
      </c>
      <c r="O24" s="5" t="n">
        <v>59000</v>
      </c>
      <c r="P24" s="20" t="n">
        <v>16725</v>
      </c>
      <c r="Q24" s="66">
        <f>RATE(L24,-J24,P24)*12</f>
        <v/>
      </c>
      <c r="R24" s="67">
        <f>P24/O24</f>
        <v/>
      </c>
      <c r="S24" s="67" t="n"/>
      <c r="T24" s="306">
        <f>O24-H24</f>
        <v/>
      </c>
      <c r="U24" s="306" t="n"/>
      <c r="V24" s="306" t="n"/>
      <c r="W24" s="306" t="n"/>
      <c r="X24" s="199">
        <f>AVERAGE(U24:W24)</f>
        <v/>
      </c>
      <c r="Y24" s="199">
        <f>Z24/0.01</f>
        <v/>
      </c>
      <c r="Z24" s="306" t="n"/>
      <c r="AA24" s="325" t="n"/>
      <c r="AB24" s="43" t="s">
        <v>24</v>
      </c>
    </row>
    <row customHeight="1" ht="47" r="25" s="307" spans="1:30">
      <c r="A25" s="328" t="n">
        <v>2015062904</v>
      </c>
      <c r="B25" s="164" t="s">
        <v>104</v>
      </c>
      <c r="C25" s="165" t="s">
        <v>105</v>
      </c>
      <c r="D25" s="147" t="s">
        <v>106</v>
      </c>
      <c r="E25" s="147" t="n">
        <v>53968</v>
      </c>
      <c r="F25" s="148" t="s">
        <v>4</v>
      </c>
      <c r="G25" s="149" t="n">
        <v>40955</v>
      </c>
      <c r="H25" s="332" t="n">
        <v>43151.84</v>
      </c>
      <c r="I25" s="151" t="n">
        <v>0.1</v>
      </c>
      <c r="J25" s="153" t="n">
        <v>372.97</v>
      </c>
      <c r="K25" s="153" t="n">
        <v>98</v>
      </c>
      <c r="L25" s="154" t="n">
        <v>316</v>
      </c>
      <c r="M25" s="149" t="n">
        <v>41532</v>
      </c>
      <c r="N25" s="155" t="n">
        <v>41562</v>
      </c>
      <c r="O25" s="183" t="n">
        <v>39900</v>
      </c>
      <c r="P25" s="157" t="n">
        <v>19150</v>
      </c>
      <c r="Q25" s="66">
        <f>RATE(L25,-J25,P25)*12</f>
        <v/>
      </c>
      <c r="R25" s="67">
        <f>P25/O25</f>
        <v/>
      </c>
      <c r="S25" s="67" t="n"/>
      <c r="T25" s="306">
        <f>O25-H25</f>
        <v/>
      </c>
      <c r="U25" s="306" t="n"/>
      <c r="V25" s="306" t="n"/>
      <c r="W25" s="306" t="n"/>
      <c r="X25" s="199">
        <f>AVERAGE(U25:W25)</f>
        <v/>
      </c>
      <c r="Y25" s="199">
        <f>Z25/0.01</f>
        <v/>
      </c>
      <c r="Z25" s="306" t="n"/>
      <c r="AA25" s="325" t="s">
        <v>394</v>
      </c>
      <c r="AB25" s="43" t="s">
        <v>24</v>
      </c>
    </row>
    <row customHeight="1" ht="20.25" r="26" s="307" spans="1:30">
      <c r="A26" s="231" t="n">
        <v>2015090805</v>
      </c>
      <c r="B26" s="6" t="s">
        <v>87</v>
      </c>
      <c r="C26" s="10" t="s">
        <v>88</v>
      </c>
      <c r="D26" s="4" t="s">
        <v>89</v>
      </c>
      <c r="E26" s="4" t="s">
        <v>90</v>
      </c>
      <c r="F26" s="26" t="s">
        <v>4</v>
      </c>
      <c r="G26" s="30" t="n">
        <v>39184</v>
      </c>
      <c r="H26" s="50" t="n">
        <v>57788.93</v>
      </c>
      <c r="I26" s="47" t="n">
        <v>0.08375</v>
      </c>
      <c r="J26" s="16" t="n">
        <v>444.52</v>
      </c>
      <c r="K26" s="16" t="n">
        <v>112.98</v>
      </c>
      <c r="L26" s="29" t="n">
        <v>258</v>
      </c>
      <c r="M26" s="30" t="n">
        <v>39741</v>
      </c>
      <c r="N26" s="25" t="n">
        <v>39772</v>
      </c>
      <c r="O26" s="295" t="n">
        <v>46000</v>
      </c>
      <c r="P26" s="20" t="n">
        <v>23000</v>
      </c>
      <c r="Q26" s="66">
        <f>RATE(L26,-J26,P26)*12</f>
        <v/>
      </c>
      <c r="R26" s="67">
        <f>P26/O26</f>
        <v/>
      </c>
      <c r="S26" s="67" t="n"/>
      <c r="T26" s="306">
        <f>O26-H26</f>
        <v/>
      </c>
      <c r="U26" s="306" t="n"/>
      <c r="V26" s="306" t="n"/>
      <c r="W26" s="306" t="n"/>
      <c r="X26" s="199">
        <f>AVERAGE(U26:W26)</f>
        <v/>
      </c>
      <c r="Y26" s="199">
        <f>Z26/0.01</f>
        <v/>
      </c>
      <c r="Z26" s="306" t="n"/>
      <c r="AA26" s="134" t="n"/>
      <c r="AB26" s="21" t="s">
        <v>24</v>
      </c>
    </row>
    <row customHeight="1" ht="20.25" r="27" s="307" spans="1:30">
      <c r="A27" s="231" t="n">
        <v>2015062901</v>
      </c>
      <c r="B27" s="12" t="s">
        <v>395</v>
      </c>
      <c r="C27" s="80" t="s">
        <v>396</v>
      </c>
      <c r="D27" s="3" t="s">
        <v>2</v>
      </c>
      <c r="E27" s="3" t="n">
        <v>47923</v>
      </c>
      <c r="F27" s="26" t="s">
        <v>4</v>
      </c>
      <c r="G27" s="30" t="n">
        <v>40664</v>
      </c>
      <c r="H27" s="50" t="n">
        <v>44405.92</v>
      </c>
      <c r="I27" s="47" t="n">
        <v>0.1</v>
      </c>
      <c r="J27" s="16" t="n">
        <v>372.53</v>
      </c>
      <c r="K27" s="105" t="n">
        <v>41</v>
      </c>
      <c r="L27" s="29" t="n">
        <v>306</v>
      </c>
      <c r="M27" s="30" t="n">
        <v>41409</v>
      </c>
      <c r="N27" s="25" t="n">
        <v>41440</v>
      </c>
      <c r="O27" s="5" t="n">
        <v>40100</v>
      </c>
      <c r="P27" s="20" t="n">
        <v>20000</v>
      </c>
      <c r="Q27" s="66">
        <f>RATE(L27,-J27,P27)*12</f>
        <v/>
      </c>
      <c r="R27" s="67">
        <f>P27/O27</f>
        <v/>
      </c>
      <c r="S27" s="67" t="n"/>
      <c r="T27" s="306">
        <f>O27-H27</f>
        <v/>
      </c>
      <c r="U27" s="306" t="n"/>
      <c r="V27" s="306" t="n"/>
      <c r="W27" s="306" t="n"/>
      <c r="X27" s="199">
        <f>AVERAGE(U27:W27)</f>
        <v/>
      </c>
      <c r="Y27" s="199">
        <f>Z27/0.01</f>
        <v/>
      </c>
      <c r="Z27" s="306" t="n"/>
      <c r="AA27" s="134" t="n"/>
      <c r="AB27" s="21" t="s">
        <v>24</v>
      </c>
    </row>
    <row customHeight="1" ht="20.25" r="28" s="307" spans="1:30">
      <c r="A28" s="166" t="n">
        <v>36137</v>
      </c>
      <c r="B28" s="167" t="s">
        <v>397</v>
      </c>
      <c r="C28" s="167" t="s">
        <v>398</v>
      </c>
      <c r="D28" s="168" t="s">
        <v>106</v>
      </c>
      <c r="E28" s="168" t="n">
        <v>53511</v>
      </c>
      <c r="F28" s="168" t="s">
        <v>4</v>
      </c>
      <c r="G28" s="169" t="n">
        <v>42053</v>
      </c>
      <c r="H28" s="170" t="n">
        <v>19308.12</v>
      </c>
      <c r="I28" s="171" t="n">
        <v>0.08</v>
      </c>
      <c r="J28" s="172" t="n">
        <v>307.71</v>
      </c>
      <c r="K28" s="172" t="n">
        <v>111.66</v>
      </c>
      <c r="L28" s="173" t="n">
        <v>172</v>
      </c>
      <c r="M28" s="169" t="n">
        <v>42310</v>
      </c>
      <c r="N28" s="174" t="n">
        <v>42339</v>
      </c>
      <c r="O28" s="175" t="n">
        <v>41000</v>
      </c>
      <c r="P28" s="176" t="n">
        <v>15929</v>
      </c>
      <c r="Q28" s="65">
        <f>RATE(L28,-J28,P28)*12</f>
        <v/>
      </c>
      <c r="R28" s="67">
        <f>P28/O28</f>
        <v/>
      </c>
      <c r="S28" s="67" t="n"/>
      <c r="T28" s="306">
        <f>O28-H28</f>
        <v/>
      </c>
      <c r="U28" s="306" t="n"/>
      <c r="V28" s="306" t="n"/>
      <c r="W28" s="306" t="n"/>
      <c r="X28" s="199">
        <f>AVERAGE(U28:W28)</f>
        <v/>
      </c>
      <c r="Y28" s="199">
        <f>Z28/0.01</f>
        <v/>
      </c>
      <c r="Z28" s="306" t="n"/>
      <c r="AA28" s="325" t="n"/>
      <c r="AB28" s="43" t="s">
        <v>24</v>
      </c>
      <c r="AC28" s="22" t="n"/>
      <c r="AD28" s="22" t="n"/>
    </row>
    <row customHeight="1" ht="20.25" r="29" s="307" spans="1:30">
      <c r="A29" s="54" t="n">
        <v>2015062902</v>
      </c>
      <c r="B29" s="78" t="s">
        <v>63</v>
      </c>
      <c r="C29" s="83" t="s">
        <v>64</v>
      </c>
      <c r="D29" s="87" t="s">
        <v>65</v>
      </c>
      <c r="E29" s="87" t="n">
        <v>38105</v>
      </c>
      <c r="F29" s="55" t="s">
        <v>4</v>
      </c>
      <c r="G29" s="56" t="n">
        <v>40750</v>
      </c>
      <c r="H29" s="57" t="n">
        <v>45226.5</v>
      </c>
      <c r="I29" s="58" t="n">
        <v>0.08210000000000001</v>
      </c>
      <c r="J29" s="60" t="n">
        <v>399.72</v>
      </c>
      <c r="K29" s="60" t="n">
        <v>121</v>
      </c>
      <c r="L29" s="61" t="n">
        <v>310</v>
      </c>
      <c r="M29" s="56" t="n">
        <v>41456</v>
      </c>
      <c r="N29" s="62" t="n">
        <v>41487</v>
      </c>
      <c r="O29" s="113" t="n">
        <v>44500</v>
      </c>
      <c r="P29" s="117" t="n">
        <v>22000</v>
      </c>
      <c r="Q29" s="66">
        <f>RATE(L29,-J29,P29)*12</f>
        <v/>
      </c>
      <c r="R29" s="67">
        <f>P29/O29</f>
        <v/>
      </c>
      <c r="S29" s="67" t="n"/>
      <c r="T29" s="306">
        <f>O29-H29</f>
        <v/>
      </c>
      <c r="U29" s="306" t="n"/>
      <c r="V29" s="306" t="n"/>
      <c r="W29" s="306" t="n"/>
      <c r="X29" s="199">
        <f>AVERAGE(U29:W29)</f>
        <v/>
      </c>
      <c r="Y29" s="199">
        <f>Z29/0.01</f>
        <v/>
      </c>
      <c r="Z29" s="306" t="n"/>
      <c r="AA29" s="139" t="n"/>
      <c r="AB29" s="63" t="s">
        <v>24</v>
      </c>
    </row>
    <row customHeight="1" ht="33.75" r="30" s="307" spans="1:30">
      <c r="A30" s="72" t="n">
        <v>39921</v>
      </c>
      <c r="B30" s="77" t="s">
        <v>399</v>
      </c>
      <c r="C30" s="77" t="s">
        <v>1</v>
      </c>
      <c r="D30" s="86" t="s">
        <v>2</v>
      </c>
      <c r="E30" s="86" t="n">
        <v>46205</v>
      </c>
      <c r="F30" s="77" t="s">
        <v>400</v>
      </c>
      <c r="G30" s="92" t="n">
        <v>41053</v>
      </c>
      <c r="H30" s="97" t="n">
        <v>53314.6</v>
      </c>
      <c r="I30" s="86" t="n">
        <v>9.99</v>
      </c>
      <c r="J30" s="97" t="n">
        <v>475</v>
      </c>
      <c r="K30" s="97" t="n">
        <v>208.31</v>
      </c>
      <c r="L30" s="86" t="n">
        <v>321</v>
      </c>
      <c r="M30" s="92" t="n">
        <v>42236</v>
      </c>
      <c r="N30" s="92" t="n">
        <v>42267</v>
      </c>
      <c r="O30" s="114" t="n">
        <v>35000</v>
      </c>
      <c r="P30" s="114" t="n">
        <v>28000</v>
      </c>
      <c r="Q30" s="65">
        <f>RATE(L30,-J30,P30)*12</f>
        <v/>
      </c>
      <c r="R30" s="67">
        <f>P30/O30</f>
        <v/>
      </c>
      <c r="S30" s="67" t="n"/>
      <c r="T30" s="306">
        <f>O30-H30</f>
        <v/>
      </c>
      <c r="U30" s="306" t="n"/>
      <c r="V30" s="306" t="n"/>
      <c r="W30" s="306" t="n"/>
      <c r="X30" s="199">
        <f>AVERAGE(U30:W30)</f>
        <v/>
      </c>
      <c r="Y30" s="199">
        <f>Z30/0.01</f>
        <v/>
      </c>
      <c r="Z30" s="306" t="n"/>
      <c r="AA30" s="140" t="n"/>
      <c r="AB30" s="119" t="s">
        <v>24</v>
      </c>
    </row>
    <row customHeight="1" ht="20.25" r="31" s="307" spans="1:30">
      <c r="A31" s="41" t="n">
        <v>55220</v>
      </c>
      <c r="B31" s="35" t="s">
        <v>401</v>
      </c>
      <c r="C31" s="35" t="s">
        <v>402</v>
      </c>
      <c r="D31" s="34" t="s">
        <v>403</v>
      </c>
      <c r="E31" s="34" t="n">
        <v>23434</v>
      </c>
      <c r="F31" s="35" t="s">
        <v>400</v>
      </c>
      <c r="G31" s="24" t="n">
        <v>41149</v>
      </c>
      <c r="H31" s="39" t="n">
        <v>25115.55</v>
      </c>
      <c r="I31" s="34" t="n">
        <v>9</v>
      </c>
      <c r="J31" s="39" t="n">
        <v>300</v>
      </c>
      <c r="K31" s="39" t="n">
        <v>70</v>
      </c>
      <c r="L31" s="34" t="n">
        <v>127</v>
      </c>
      <c r="M31" s="24" t="n">
        <v>42298</v>
      </c>
      <c r="N31" s="24" t="n">
        <v>42278</v>
      </c>
      <c r="O31" s="20" t="n">
        <v>20900</v>
      </c>
      <c r="P31" s="20" t="n">
        <v>16720</v>
      </c>
      <c r="Q31" s="65">
        <f>RATE(L31,-J31,P31)*12</f>
        <v/>
      </c>
      <c r="R31" s="67">
        <f>P31/O31</f>
        <v/>
      </c>
      <c r="S31" s="67" t="n"/>
      <c r="T31" s="306">
        <f>O31-H31</f>
        <v/>
      </c>
      <c r="U31" s="306" t="n"/>
      <c r="V31" s="306" t="n"/>
      <c r="W31" s="306" t="n"/>
      <c r="X31" s="199">
        <f>AVERAGE(U31:W31)</f>
        <v/>
      </c>
      <c r="Y31" s="199">
        <f>Z31/0.01</f>
        <v/>
      </c>
      <c r="Z31" s="306" t="n"/>
      <c r="AA31" s="134" t="n"/>
      <c r="AB31" s="21" t="s">
        <v>24</v>
      </c>
    </row>
    <row customHeight="1" ht="20.25" r="32" s="307" spans="1:30">
      <c r="A32" s="231" t="n">
        <v>2015090836</v>
      </c>
      <c r="B32" s="6" t="s">
        <v>210</v>
      </c>
      <c r="C32" s="10" t="s">
        <v>211</v>
      </c>
      <c r="D32" s="4" t="s">
        <v>74</v>
      </c>
      <c r="E32" s="4" t="n">
        <v>14613</v>
      </c>
      <c r="F32" s="26" t="s">
        <v>4</v>
      </c>
      <c r="G32" s="27" t="n">
        <v>38288</v>
      </c>
      <c r="H32" s="50" t="n">
        <v>32907.79</v>
      </c>
      <c r="I32" s="47" t="n">
        <v>0.08999</v>
      </c>
      <c r="J32" s="15" t="n">
        <v>300.72</v>
      </c>
      <c r="K32" s="15" t="n">
        <v>0</v>
      </c>
      <c r="L32" s="26" t="n">
        <v>229</v>
      </c>
      <c r="M32" s="27" t="n">
        <v>42217</v>
      </c>
      <c r="N32" s="25" t="n">
        <v>42248</v>
      </c>
      <c r="O32" s="295" t="n">
        <v>35000</v>
      </c>
      <c r="P32" s="20" t="n">
        <v>21385</v>
      </c>
      <c r="Q32" s="66">
        <f>RATE(L32,-J32,P32)*12</f>
        <v/>
      </c>
      <c r="R32" s="67">
        <f>P32/O32</f>
        <v/>
      </c>
      <c r="S32" s="67" t="n"/>
      <c r="T32" s="306">
        <f>O32-H32</f>
        <v/>
      </c>
      <c r="U32" s="306" t="n"/>
      <c r="V32" s="306" t="n"/>
      <c r="W32" s="306" t="n"/>
      <c r="X32" s="199">
        <f>AVERAGE(U32:W32)</f>
        <v/>
      </c>
      <c r="Y32" s="199">
        <f>Z32/0.01</f>
        <v/>
      </c>
      <c r="Z32" s="306" t="n"/>
      <c r="AA32" s="134" t="n"/>
      <c r="AB32" s="21" t="s">
        <v>24</v>
      </c>
    </row>
    <row customHeight="1" ht="20.25" r="33" s="307" spans="1:30">
      <c r="A33" s="41" t="n">
        <v>55192</v>
      </c>
      <c r="B33" s="35" t="s">
        <v>404</v>
      </c>
      <c r="C33" s="35" t="s">
        <v>208</v>
      </c>
      <c r="D33" s="34" t="s">
        <v>2</v>
      </c>
      <c r="E33" s="34" t="n">
        <v>47803</v>
      </c>
      <c r="F33" s="34" t="s">
        <v>4</v>
      </c>
      <c r="G33" s="24" t="n">
        <v>41827</v>
      </c>
      <c r="H33" s="36" t="n">
        <v>35036.22</v>
      </c>
      <c r="I33" s="40" t="n">
        <v>0.09</v>
      </c>
      <c r="J33" s="39" t="n">
        <v>400</v>
      </c>
      <c r="K33" s="39" t="n">
        <v>35</v>
      </c>
      <c r="L33" s="34" t="n">
        <v>143</v>
      </c>
      <c r="M33" s="24" t="n">
        <v>42308</v>
      </c>
      <c r="N33" s="24" t="n">
        <v>42309</v>
      </c>
      <c r="O33" s="53" t="n">
        <v>31000</v>
      </c>
      <c r="P33" s="20" t="n">
        <v>25575</v>
      </c>
      <c r="Q33" s="65">
        <f>RATE(L33,-J33,P33)*12</f>
        <v/>
      </c>
      <c r="R33" s="67">
        <f>P33/O33</f>
        <v/>
      </c>
      <c r="S33" s="67" t="n"/>
      <c r="T33" s="306">
        <f>O33-H33</f>
        <v/>
      </c>
      <c r="U33" s="306" t="n"/>
      <c r="V33" s="306" t="n"/>
      <c r="W33" s="306" t="n"/>
      <c r="X33" s="199">
        <f>AVERAGE(U33:W33)</f>
        <v/>
      </c>
      <c r="Y33" s="199">
        <f>Z33/0.01</f>
        <v/>
      </c>
      <c r="Z33" s="306" t="n"/>
      <c r="AA33" s="134" t="n"/>
      <c r="AB33" s="21" t="s">
        <v>24</v>
      </c>
      <c r="AC33" s="22" t="n"/>
      <c r="AD33" s="22" t="n"/>
    </row>
    <row customHeight="1" ht="20.25" r="34" s="307" spans="1:30">
      <c r="A34" s="41" t="n">
        <v>55167</v>
      </c>
      <c r="B34" s="35" t="s">
        <v>405</v>
      </c>
      <c r="C34" s="35" t="s">
        <v>406</v>
      </c>
      <c r="D34" s="34" t="s">
        <v>28</v>
      </c>
      <c r="E34" s="34" t="n">
        <v>44405</v>
      </c>
      <c r="F34" s="34" t="s">
        <v>4</v>
      </c>
      <c r="G34" s="24" t="n">
        <v>41367</v>
      </c>
      <c r="H34" s="36" t="n">
        <v>30157.66</v>
      </c>
      <c r="I34" s="40" t="n">
        <v>0.09</v>
      </c>
      <c r="J34" s="39" t="n">
        <v>350</v>
      </c>
      <c r="K34" s="39" t="n">
        <v>20</v>
      </c>
      <c r="L34" s="34" t="n">
        <v>139</v>
      </c>
      <c r="M34" s="24" t="n">
        <v>42300</v>
      </c>
      <c r="N34" s="24" t="n">
        <v>42309</v>
      </c>
      <c r="O34" s="5" t="n">
        <v>27000</v>
      </c>
      <c r="P34" s="20" t="n">
        <v>22275</v>
      </c>
      <c r="Q34" s="65">
        <f>RATE(L34,-J34,P34)*12</f>
        <v/>
      </c>
      <c r="R34" s="67">
        <f>P34/O34</f>
        <v/>
      </c>
      <c r="S34" s="67" t="n"/>
      <c r="T34" s="306">
        <f>O34-H34</f>
        <v/>
      </c>
      <c r="U34" s="306" t="n"/>
      <c r="V34" s="306" t="n"/>
      <c r="W34" s="306" t="n"/>
      <c r="X34" s="199">
        <f>AVERAGE(U34:W34)</f>
        <v/>
      </c>
      <c r="Y34" s="199">
        <f>Z34/0.01</f>
        <v/>
      </c>
      <c r="Z34" s="306" t="n"/>
      <c r="AA34" s="134" t="n"/>
      <c r="AB34" s="21" t="s">
        <v>24</v>
      </c>
      <c r="AC34" s="22" t="n"/>
      <c r="AD34" s="22" t="n"/>
    </row>
    <row customHeight="1" ht="20.25" r="35" s="307" spans="1:30">
      <c r="A35" s="41" t="n">
        <v>39770</v>
      </c>
      <c r="B35" s="35" t="s">
        <v>407</v>
      </c>
      <c r="C35" s="35" t="s">
        <v>408</v>
      </c>
      <c r="D35" s="34" t="s">
        <v>124</v>
      </c>
      <c r="E35" s="34" t="n">
        <v>48341</v>
      </c>
      <c r="F35" s="34" t="s">
        <v>4</v>
      </c>
      <c r="G35" s="24" t="n">
        <v>40808</v>
      </c>
      <c r="H35" s="36" t="n">
        <v>48427</v>
      </c>
      <c r="I35" s="40" t="n">
        <v>0.0999</v>
      </c>
      <c r="J35" s="39" t="n">
        <v>430</v>
      </c>
      <c r="K35" s="39" t="n">
        <v>124.84</v>
      </c>
      <c r="L35" s="34" t="n">
        <v>311</v>
      </c>
      <c r="M35" s="24" t="n">
        <v>42286</v>
      </c>
      <c r="N35" s="24" t="n">
        <v>42309</v>
      </c>
      <c r="O35" s="5" t="n">
        <v>40000</v>
      </c>
      <c r="P35" s="20" t="n">
        <v>33000</v>
      </c>
      <c r="Q35" s="65">
        <f>RATE(L35,-J35,P35)*12</f>
        <v/>
      </c>
      <c r="R35" s="67">
        <f>P35/O35</f>
        <v/>
      </c>
      <c r="S35" s="67" t="n"/>
      <c r="T35" s="306">
        <f>O35-H35</f>
        <v/>
      </c>
      <c r="U35" s="306" t="n"/>
      <c r="V35" s="306" t="n"/>
      <c r="W35" s="306" t="n"/>
      <c r="X35" s="199">
        <f>AVERAGE(U35:W35)</f>
        <v/>
      </c>
      <c r="Y35" s="199">
        <f>Z35/0.01</f>
        <v/>
      </c>
      <c r="Z35" s="306" t="n"/>
      <c r="AA35" s="134" t="n"/>
      <c r="AB35" s="21" t="s">
        <v>24</v>
      </c>
      <c r="AC35" s="22" t="n"/>
      <c r="AD35" s="22" t="n"/>
    </row>
    <row customHeight="1" ht="20.25" r="36" s="307" spans="1:30">
      <c r="A36" s="41" t="n">
        <v>39833</v>
      </c>
      <c r="B36" s="35" t="s">
        <v>409</v>
      </c>
      <c r="C36" s="35" t="s">
        <v>410</v>
      </c>
      <c r="D36" s="34" t="s">
        <v>2</v>
      </c>
      <c r="E36" s="34" t="n">
        <v>47345</v>
      </c>
      <c r="F36" s="35" t="s">
        <v>400</v>
      </c>
      <c r="G36" s="24" t="n">
        <v>41305</v>
      </c>
      <c r="H36" s="39" t="n">
        <v>45316.03</v>
      </c>
      <c r="I36" s="34" t="n">
        <v>9.99</v>
      </c>
      <c r="J36" s="39" t="n">
        <v>400</v>
      </c>
      <c r="K36" s="39" t="n">
        <v>42.2</v>
      </c>
      <c r="L36" s="34" t="n">
        <v>333</v>
      </c>
      <c r="M36" s="24" t="n">
        <v>42307</v>
      </c>
      <c r="N36" s="24" t="n">
        <v>42252</v>
      </c>
      <c r="O36" s="20" t="n">
        <v>40000</v>
      </c>
      <c r="P36" s="20" t="n">
        <v>32000</v>
      </c>
      <c r="Q36" s="65">
        <f>RATE(L36,-J36,P36)*12</f>
        <v/>
      </c>
      <c r="R36" s="67">
        <f>P36/O36</f>
        <v/>
      </c>
      <c r="S36" s="67" t="n"/>
      <c r="T36" s="306">
        <f>O36-H36</f>
        <v/>
      </c>
      <c r="U36" s="306" t="n"/>
      <c r="V36" s="306" t="n"/>
      <c r="W36" s="306" t="n"/>
      <c r="X36" s="199">
        <f>AVERAGE(U36:W36)</f>
        <v/>
      </c>
      <c r="Y36" s="199">
        <f>Z36/0.01</f>
        <v/>
      </c>
      <c r="Z36" s="306" t="n"/>
      <c r="AA36" s="134" t="n"/>
      <c r="AB36" s="21" t="s">
        <v>24</v>
      </c>
    </row>
    <row customHeight="1" ht="20.25" r="37" s="307" spans="1:30">
      <c r="A37" s="44" t="n">
        <v>40601</v>
      </c>
      <c r="B37" s="219" t="s">
        <v>192</v>
      </c>
      <c r="C37" s="218" t="s">
        <v>56</v>
      </c>
      <c r="D37" s="220" t="s">
        <v>28</v>
      </c>
      <c r="E37" s="220" t="n">
        <v>45214</v>
      </c>
      <c r="F37" s="26" t="s">
        <v>4</v>
      </c>
      <c r="G37" s="25" t="n">
        <v>41688</v>
      </c>
      <c r="H37" s="295" t="n">
        <v>33103.96</v>
      </c>
      <c r="I37" s="48" t="n">
        <v>0.08</v>
      </c>
      <c r="J37" s="5" t="n">
        <v>285.44</v>
      </c>
      <c r="K37" s="5" t="n">
        <v>65.8</v>
      </c>
      <c r="L37" s="220" t="n">
        <v>224</v>
      </c>
      <c r="M37" s="25" t="n">
        <v>42251</v>
      </c>
      <c r="N37" s="25" t="n">
        <v>42217</v>
      </c>
      <c r="O37" s="52" t="n">
        <v>26500</v>
      </c>
      <c r="P37" s="28" t="n">
        <v>21860</v>
      </c>
      <c r="Q37" s="66">
        <f>RATE(L37,-J37,P37)*12</f>
        <v/>
      </c>
      <c r="R37" s="67">
        <f>P37/O37</f>
        <v/>
      </c>
      <c r="S37" s="67" t="n"/>
      <c r="T37" s="306">
        <f>O37-H37</f>
        <v/>
      </c>
      <c r="U37" s="306" t="n"/>
      <c r="V37" s="306" t="n"/>
      <c r="W37" s="306" t="n"/>
      <c r="X37" s="199">
        <f>AVERAGE(U37:W37)</f>
        <v/>
      </c>
      <c r="Y37" s="199">
        <f>Z37/0.01</f>
        <v/>
      </c>
      <c r="Z37" s="306" t="n"/>
      <c r="AA37" s="141" t="n"/>
      <c r="AB37" s="21" t="s">
        <v>24</v>
      </c>
    </row>
    <row customFormat="1" customHeight="1" ht="20.25" r="38" s="23" spans="1:30">
      <c r="A38" s="41" t="n">
        <v>50036</v>
      </c>
      <c r="B38" s="35" t="s">
        <v>411</v>
      </c>
      <c r="C38" s="35" t="s">
        <v>254</v>
      </c>
      <c r="D38" s="34" t="s">
        <v>246</v>
      </c>
      <c r="E38" s="34" t="n">
        <v>40203</v>
      </c>
      <c r="F38" s="34" t="s">
        <v>4</v>
      </c>
      <c r="G38" s="24" t="n">
        <v>41114</v>
      </c>
      <c r="H38" s="36" t="n">
        <v>33851.89</v>
      </c>
      <c r="I38" s="40" t="n">
        <v>0.09</v>
      </c>
      <c r="J38" s="39" t="n">
        <v>400</v>
      </c>
      <c r="K38" s="39" t="n">
        <v>88.5</v>
      </c>
      <c r="L38" s="34" t="n">
        <v>135</v>
      </c>
      <c r="M38" s="24" t="n">
        <v>42307</v>
      </c>
      <c r="N38" s="24" t="n">
        <v>42309</v>
      </c>
      <c r="O38" s="5" t="n">
        <v>33000</v>
      </c>
      <c r="P38" s="20" t="n">
        <v>27225</v>
      </c>
      <c r="Q38" s="65">
        <f>RATE(L38,-J38,P38)*12</f>
        <v/>
      </c>
      <c r="R38" s="67">
        <f>P38/O38</f>
        <v/>
      </c>
      <c r="S38" s="67" t="n"/>
      <c r="T38" s="306">
        <f>O38-H38</f>
        <v/>
      </c>
      <c r="U38" s="306" t="n"/>
      <c r="V38" s="306" t="n"/>
      <c r="W38" s="306" t="n"/>
      <c r="X38" s="199">
        <f>AVERAGE(U38:W38)</f>
        <v/>
      </c>
      <c r="Y38" s="199">
        <f>Z38/0.01</f>
        <v/>
      </c>
      <c r="Z38" s="306" t="n"/>
      <c r="AA38" s="134" t="n"/>
      <c r="AB38" s="21" t="s">
        <v>24</v>
      </c>
      <c r="AC38" s="22" t="n"/>
      <c r="AD38" s="22" t="n"/>
    </row>
    <row customFormat="1" customHeight="1" ht="20.25" r="39" s="22" spans="1:30">
      <c r="A39" s="41" t="n">
        <v>55169</v>
      </c>
      <c r="B39" s="35" t="s">
        <v>194</v>
      </c>
      <c r="C39" s="35" t="s">
        <v>195</v>
      </c>
      <c r="D39" s="34" t="s">
        <v>33</v>
      </c>
      <c r="E39" s="34" t="n">
        <v>32926</v>
      </c>
      <c r="F39" s="34" t="s">
        <v>196</v>
      </c>
      <c r="G39" s="24" t="n">
        <v>41729</v>
      </c>
      <c r="H39" s="36" t="n">
        <v>25775.33</v>
      </c>
      <c r="I39" s="37" t="n">
        <v>0.09</v>
      </c>
      <c r="J39" s="36" t="n">
        <v>300</v>
      </c>
      <c r="K39" s="36" t="n">
        <v>55</v>
      </c>
      <c r="L39" s="34" t="n">
        <v>147</v>
      </c>
      <c r="M39" s="24" t="n">
        <v>42257</v>
      </c>
      <c r="N39" s="24" t="n">
        <v>42309</v>
      </c>
      <c r="O39" s="52" t="n">
        <v>26000</v>
      </c>
      <c r="P39" s="20" t="n">
        <v>21264.65</v>
      </c>
      <c r="Q39" s="65">
        <f>RATE(L39,-J39,P39)*12</f>
        <v/>
      </c>
      <c r="R39" s="67">
        <f>P39/O39</f>
        <v/>
      </c>
      <c r="S39" s="67" t="n"/>
      <c r="T39" s="306">
        <f>O39-H39</f>
        <v/>
      </c>
      <c r="U39" s="306" t="n"/>
      <c r="V39" s="306" t="n"/>
      <c r="W39" s="306" t="n"/>
      <c r="X39" s="199">
        <f>AVERAGE(U39:W39)</f>
        <v/>
      </c>
      <c r="Y39" s="199">
        <f>Z39/0.01</f>
        <v/>
      </c>
      <c r="Z39" s="306" t="n"/>
      <c r="AA39" s="134" t="n"/>
      <c r="AB39" s="21" t="s">
        <v>24</v>
      </c>
      <c r="AC39" s="23" t="n"/>
      <c r="AD39" s="23" t="n"/>
    </row>
    <row customFormat="1" customHeight="1" ht="20.25" r="40" s="22" spans="1:30">
      <c r="A40" s="41" t="n">
        <v>55175</v>
      </c>
      <c r="B40" s="35" t="s">
        <v>412</v>
      </c>
      <c r="C40" s="35" t="s">
        <v>413</v>
      </c>
      <c r="D40" s="34" t="s">
        <v>129</v>
      </c>
      <c r="E40" s="34" t="n">
        <v>74637</v>
      </c>
      <c r="F40" s="34" t="s">
        <v>4</v>
      </c>
      <c r="G40" s="24" t="n">
        <v>40983</v>
      </c>
      <c r="H40" s="36" t="n">
        <v>22170.55</v>
      </c>
      <c r="I40" s="40" t="n">
        <v>0.09</v>
      </c>
      <c r="J40" s="39" t="n">
        <v>275</v>
      </c>
      <c r="K40" s="39" t="n">
        <v>35</v>
      </c>
      <c r="L40" s="34" t="n">
        <v>125</v>
      </c>
      <c r="M40" s="24" t="n">
        <v>42291</v>
      </c>
      <c r="N40" s="24" t="n">
        <v>42309</v>
      </c>
      <c r="O40" s="5" t="n">
        <v>42000</v>
      </c>
      <c r="P40" s="20" t="n">
        <v>18291</v>
      </c>
      <c r="Q40" s="65">
        <f>RATE(L40,-J40,P40)*12</f>
        <v/>
      </c>
      <c r="R40" s="67">
        <f>P40/O40</f>
        <v/>
      </c>
      <c r="S40" s="67" t="n"/>
      <c r="T40" s="306">
        <f>O40-H40</f>
        <v/>
      </c>
      <c r="U40" s="306" t="n"/>
      <c r="V40" s="306" t="n"/>
      <c r="W40" s="306" t="n"/>
      <c r="X40" s="199">
        <f>AVERAGE(U40:W40)</f>
        <v/>
      </c>
      <c r="Y40" s="199">
        <f>Z40/0.01</f>
        <v/>
      </c>
      <c r="Z40" s="306" t="n"/>
      <c r="AA40" s="134" t="n"/>
      <c r="AB40" s="21" t="s">
        <v>24</v>
      </c>
    </row>
    <row customFormat="1" customHeight="1" ht="40" r="41" s="145" spans="1:30">
      <c r="A41" s="177" t="n">
        <v>50050</v>
      </c>
      <c r="B41" s="178" t="s">
        <v>414</v>
      </c>
      <c r="C41" s="178" t="s">
        <v>415</v>
      </c>
      <c r="D41" s="158" t="s">
        <v>124</v>
      </c>
      <c r="E41" s="158" t="n">
        <v>48186</v>
      </c>
      <c r="F41" s="158" t="s">
        <v>4</v>
      </c>
      <c r="G41" s="159" t="n">
        <v>40946</v>
      </c>
      <c r="H41" s="160" t="n">
        <v>31239.35</v>
      </c>
      <c r="I41" s="161" t="n">
        <v>0.09</v>
      </c>
      <c r="J41" s="162" t="n">
        <v>375</v>
      </c>
      <c r="K41" s="162" t="n">
        <v>521.11</v>
      </c>
      <c r="L41" s="158" t="n">
        <v>130</v>
      </c>
      <c r="M41" s="159" t="n">
        <v>42293</v>
      </c>
      <c r="N41" s="159" t="n">
        <v>42309</v>
      </c>
      <c r="O41" s="183" t="n">
        <v>55000</v>
      </c>
      <c r="P41" s="157" t="n">
        <v>25772</v>
      </c>
      <c r="Q41" s="65">
        <f>RATE(L41,-J41,P41)*12</f>
        <v/>
      </c>
      <c r="R41" s="67">
        <f>P41/O41</f>
        <v/>
      </c>
      <c r="S41" s="67" t="n"/>
      <c r="T41" s="191">
        <f>O41-H41</f>
        <v/>
      </c>
      <c r="U41" s="191" t="n"/>
      <c r="V41" s="191" t="n"/>
      <c r="W41" s="191" t="n"/>
      <c r="X41" s="199">
        <f>AVERAGE(U41:W41)</f>
        <v/>
      </c>
      <c r="Y41" s="199">
        <f>Z41/0.01</f>
        <v/>
      </c>
      <c r="Z41" s="191" t="n"/>
      <c r="AA41" s="146" t="s">
        <v>25</v>
      </c>
      <c r="AB41" s="144" t="s">
        <v>24</v>
      </c>
    </row>
    <row customFormat="1" customHeight="1" ht="20.25" r="42" s="22" spans="1:30">
      <c r="A42" s="44" t="n">
        <v>40611</v>
      </c>
      <c r="B42" s="219" t="s">
        <v>416</v>
      </c>
      <c r="C42" s="218" t="s">
        <v>56</v>
      </c>
      <c r="D42" s="220" t="s">
        <v>28</v>
      </c>
      <c r="E42" s="220" t="n">
        <v>45216</v>
      </c>
      <c r="F42" s="26" t="s">
        <v>4</v>
      </c>
      <c r="G42" s="25" t="n">
        <v>41620</v>
      </c>
      <c r="H42" s="295" t="n">
        <v>56382.62</v>
      </c>
      <c r="I42" s="48" t="n">
        <v>0.08</v>
      </c>
      <c r="J42" s="5" t="n">
        <v>489.32</v>
      </c>
      <c r="K42" s="5" t="n">
        <v>152.05</v>
      </c>
      <c r="L42" s="220" t="n">
        <v>220</v>
      </c>
      <c r="M42" s="25" t="n">
        <v>42291</v>
      </c>
      <c r="N42" s="25" t="n">
        <v>42278</v>
      </c>
      <c r="O42" s="52" t="n">
        <v>49000</v>
      </c>
      <c r="P42" s="28" t="n">
        <v>40425</v>
      </c>
      <c r="Q42" s="65">
        <f>RATE(L42,-J42,P42)*12</f>
        <v/>
      </c>
      <c r="R42" s="67">
        <f>P42/O42</f>
        <v/>
      </c>
      <c r="S42" s="67" t="n"/>
      <c r="T42" s="306">
        <f>O42-H42</f>
        <v/>
      </c>
      <c r="U42" s="306" t="n"/>
      <c r="V42" s="306" t="n"/>
      <c r="W42" s="306" t="n"/>
      <c r="X42" s="199">
        <f>AVERAGE(U42:W42)</f>
        <v/>
      </c>
      <c r="Y42" s="199">
        <f>Z42/0.01</f>
        <v/>
      </c>
      <c r="Z42" s="306" t="n"/>
      <c r="AA42" s="141" t="n"/>
      <c r="AB42" s="21" t="s">
        <v>24</v>
      </c>
    </row>
    <row customFormat="1" customHeight="1" ht="20.25" r="43" s="22" spans="1:30">
      <c r="A43" s="41" t="n">
        <v>40550</v>
      </c>
      <c r="B43" s="35" t="s">
        <v>55</v>
      </c>
      <c r="C43" s="35" t="s">
        <v>56</v>
      </c>
      <c r="D43" s="34" t="s">
        <v>28</v>
      </c>
      <c r="E43" s="34" t="n">
        <v>45207</v>
      </c>
      <c r="F43" s="34" t="s">
        <v>4</v>
      </c>
      <c r="G43" s="24" t="n">
        <v>41813</v>
      </c>
      <c r="H43" s="36" t="n">
        <v>33214.13</v>
      </c>
      <c r="I43" s="40" t="n">
        <v>0.08</v>
      </c>
      <c r="J43" s="39" t="n">
        <v>285.44</v>
      </c>
      <c r="K43" s="39" t="n">
        <v>79.33</v>
      </c>
      <c r="L43" s="34" t="n">
        <v>225</v>
      </c>
      <c r="M43" s="24" t="n">
        <v>42284</v>
      </c>
      <c r="N43" s="24" t="n">
        <v>42309</v>
      </c>
      <c r="O43" s="5" t="n">
        <v>28900</v>
      </c>
      <c r="P43" s="20" t="n">
        <v>23842.5</v>
      </c>
      <c r="Q43" s="65">
        <f>RATE(L43,-J43,P43)*12</f>
        <v/>
      </c>
      <c r="R43" s="67">
        <f>P43/O43</f>
        <v/>
      </c>
      <c r="S43" s="67" t="n"/>
      <c r="T43" s="306">
        <f>O43-H43</f>
        <v/>
      </c>
      <c r="U43" s="306" t="n"/>
      <c r="V43" s="306" t="n"/>
      <c r="W43" s="306" t="n"/>
      <c r="X43" s="199">
        <f>AVERAGE(U43:W43)</f>
        <v/>
      </c>
      <c r="Y43" s="199">
        <f>Z43/0.01</f>
        <v/>
      </c>
      <c r="Z43" s="306" t="n"/>
      <c r="AA43" s="134" t="n"/>
      <c r="AB43" s="21" t="s">
        <v>24</v>
      </c>
    </row>
    <row customFormat="1" customHeight="1" ht="20.25" r="44" s="22" spans="1:30">
      <c r="A44" s="41" t="n">
        <v>55165</v>
      </c>
      <c r="B44" s="35" t="s">
        <v>417</v>
      </c>
      <c r="C44" s="35" t="s">
        <v>418</v>
      </c>
      <c r="D44" s="34" t="s">
        <v>129</v>
      </c>
      <c r="E44" s="34" t="n">
        <v>73443</v>
      </c>
      <c r="F44" s="34" t="s">
        <v>4</v>
      </c>
      <c r="G44" s="24" t="n">
        <v>40991</v>
      </c>
      <c r="H44" s="36" t="n">
        <v>29723.15</v>
      </c>
      <c r="I44" s="40" t="n">
        <v>0.09</v>
      </c>
      <c r="J44" s="39" t="n">
        <v>350</v>
      </c>
      <c r="K44" s="39" t="n">
        <v>15</v>
      </c>
      <c r="L44" s="34" t="n">
        <v>131</v>
      </c>
      <c r="M44" s="24" t="n">
        <v>42284</v>
      </c>
      <c r="N44" s="24" t="n">
        <v>42309</v>
      </c>
      <c r="O44" s="5" t="n">
        <v>40500</v>
      </c>
      <c r="P44" s="20" t="n">
        <v>24522</v>
      </c>
      <c r="Q44" s="65">
        <f>RATE(L44,-J44,P44)*12</f>
        <v/>
      </c>
      <c r="R44" s="67">
        <f>P44/O44</f>
        <v/>
      </c>
      <c r="S44" s="67" t="n"/>
      <c r="T44" s="306">
        <f>O44-H44</f>
        <v/>
      </c>
      <c r="U44" s="306" t="n"/>
      <c r="V44" s="306" t="n"/>
      <c r="W44" s="306" t="n"/>
      <c r="X44" s="199">
        <f>AVERAGE(U44:W44)</f>
        <v/>
      </c>
      <c r="Y44" s="199">
        <f>Z44/0.01</f>
        <v/>
      </c>
      <c r="Z44" s="306" t="n"/>
      <c r="AA44" s="134" t="s">
        <v>57</v>
      </c>
      <c r="AB44" s="21" t="s">
        <v>24</v>
      </c>
    </row>
    <row customFormat="1" customHeight="1" ht="20.25" r="45" s="22" spans="1:30">
      <c r="A45" s="41" t="n">
        <v>40265</v>
      </c>
      <c r="B45" s="35" t="s">
        <v>419</v>
      </c>
      <c r="C45" s="35" t="s">
        <v>27</v>
      </c>
      <c r="D45" s="34" t="s">
        <v>28</v>
      </c>
      <c r="E45" s="34" t="n">
        <v>43207</v>
      </c>
      <c r="F45" s="34" t="s">
        <v>4</v>
      </c>
      <c r="G45" s="24" t="n">
        <v>41575</v>
      </c>
      <c r="H45" s="36" t="n">
        <v>27866.95</v>
      </c>
      <c r="I45" s="40" t="n">
        <v>0.08</v>
      </c>
      <c r="J45" s="39" t="n">
        <v>244.24</v>
      </c>
      <c r="K45" s="39" t="n">
        <v>62.33</v>
      </c>
      <c r="L45" s="34" t="n">
        <v>217</v>
      </c>
      <c r="M45" s="24" t="n">
        <v>42284</v>
      </c>
      <c r="N45" s="24" t="n">
        <v>42309</v>
      </c>
      <c r="O45" s="5" t="n">
        <v>26000</v>
      </c>
      <c r="P45" s="20" t="n">
        <v>21450</v>
      </c>
      <c r="Q45" s="65">
        <f>RATE(L45,-J45,P45)*12</f>
        <v/>
      </c>
      <c r="R45" s="67">
        <f>P45/O45</f>
        <v/>
      </c>
      <c r="S45" s="67" t="n"/>
      <c r="T45" s="306">
        <f>O45-H45</f>
        <v/>
      </c>
      <c r="U45" s="306" t="n"/>
      <c r="V45" s="306" t="n"/>
      <c r="W45" s="306" t="n"/>
      <c r="X45" s="199">
        <f>AVERAGE(U45:W45)</f>
        <v/>
      </c>
      <c r="Y45" s="199">
        <f>Z45/0.01</f>
        <v/>
      </c>
      <c r="Z45" s="306" t="n"/>
      <c r="AA45" s="134" t="n"/>
      <c r="AB45" s="21" t="s">
        <v>24</v>
      </c>
    </row>
    <row customFormat="1" customHeight="1" ht="20.25" r="46" s="22" spans="1:30">
      <c r="A46" s="44" t="n">
        <v>39543</v>
      </c>
      <c r="B46" s="219" t="s">
        <v>420</v>
      </c>
      <c r="C46" s="218" t="s">
        <v>56</v>
      </c>
      <c r="D46" s="220" t="s">
        <v>28</v>
      </c>
      <c r="E46" s="220" t="n">
        <v>45211</v>
      </c>
      <c r="F46" s="26" t="s">
        <v>4</v>
      </c>
      <c r="G46" s="25" t="n">
        <v>41731</v>
      </c>
      <c r="H46" s="295" t="n">
        <v>31786.57</v>
      </c>
      <c r="I46" s="48" t="n">
        <v>0.08</v>
      </c>
      <c r="J46" s="5" t="n">
        <v>285.44</v>
      </c>
      <c r="K46" s="5" t="n">
        <v>253.9</v>
      </c>
      <c r="L46" s="220" t="n">
        <v>222</v>
      </c>
      <c r="M46" s="25" t="n">
        <v>42277</v>
      </c>
      <c r="N46" s="25" t="n">
        <v>42309</v>
      </c>
      <c r="O46" s="52" t="n">
        <v>51000</v>
      </c>
      <c r="P46" s="28" t="n">
        <v>26225</v>
      </c>
      <c r="Q46" s="66">
        <f>RATE(L46,-J46,P46)*12</f>
        <v/>
      </c>
      <c r="R46" s="67">
        <f>P46/O46</f>
        <v/>
      </c>
      <c r="S46" s="67" t="n"/>
      <c r="T46" s="306">
        <f>O46-H46</f>
        <v/>
      </c>
      <c r="U46" s="306" t="n"/>
      <c r="V46" s="306" t="n"/>
      <c r="W46" s="306" t="n"/>
      <c r="X46" s="199">
        <f>AVERAGE(U46:W46)</f>
        <v/>
      </c>
      <c r="Y46" s="199">
        <f>Z46/0.01</f>
        <v/>
      </c>
      <c r="Z46" s="306" t="n"/>
      <c r="AA46" s="141" t="n"/>
      <c r="AB46" s="21" t="s">
        <v>24</v>
      </c>
    </row>
    <row customFormat="1" customHeight="1" ht="20.25" r="47" s="22" spans="1:30">
      <c r="A47" s="41" t="n">
        <v>39754</v>
      </c>
      <c r="B47" s="35" t="s">
        <v>421</v>
      </c>
      <c r="C47" s="35" t="s">
        <v>408</v>
      </c>
      <c r="D47" s="34" t="s">
        <v>124</v>
      </c>
      <c r="E47" s="34" t="n">
        <v>48342</v>
      </c>
      <c r="F47" s="34" t="s">
        <v>4</v>
      </c>
      <c r="G47" s="24" t="n">
        <v>42087</v>
      </c>
      <c r="H47" s="36" t="n">
        <v>22746.77</v>
      </c>
      <c r="I47" s="40" t="n">
        <v>0.08</v>
      </c>
      <c r="J47" s="39" t="n">
        <v>221.28</v>
      </c>
      <c r="K47" s="39" t="n">
        <v>103.83</v>
      </c>
      <c r="L47" s="34" t="n">
        <v>174</v>
      </c>
      <c r="M47" s="24" t="n">
        <v>42283</v>
      </c>
      <c r="N47" s="24" t="n">
        <v>42309</v>
      </c>
      <c r="O47" s="5" t="n">
        <v>28000</v>
      </c>
      <c r="P47" s="20" t="n">
        <v>18766.08</v>
      </c>
      <c r="Q47" s="65">
        <f>RATE(L47,-J47,P47)*12</f>
        <v/>
      </c>
      <c r="R47" s="67">
        <f>P47/O47</f>
        <v/>
      </c>
      <c r="S47" s="67" t="n"/>
      <c r="T47" s="306">
        <f>O47-H47</f>
        <v/>
      </c>
      <c r="U47" s="306" t="n"/>
      <c r="V47" s="306" t="n"/>
      <c r="W47" s="306" t="n"/>
      <c r="X47" s="199">
        <f>AVERAGE(U47:W47)</f>
        <v/>
      </c>
      <c r="Y47" s="199">
        <f>Z47/0.01</f>
        <v/>
      </c>
      <c r="Z47" s="306" t="n"/>
      <c r="AA47" s="134" t="n"/>
      <c r="AB47" s="21" t="s">
        <v>24</v>
      </c>
    </row>
    <row customFormat="1" customHeight="1" ht="20.25" r="48" s="22" spans="1:30">
      <c r="A48" s="41" t="n">
        <v>48897</v>
      </c>
      <c r="B48" s="35" t="s">
        <v>136</v>
      </c>
      <c r="C48" s="35" t="s">
        <v>137</v>
      </c>
      <c r="D48" s="34" t="s">
        <v>65</v>
      </c>
      <c r="E48" s="34" t="n">
        <v>37748</v>
      </c>
      <c r="F48" s="34" t="s">
        <v>4</v>
      </c>
      <c r="G48" s="24" t="n">
        <v>40124</v>
      </c>
      <c r="H48" s="36" t="n">
        <v>17734.43</v>
      </c>
      <c r="I48" s="40" t="n">
        <v>0.0725</v>
      </c>
      <c r="J48" s="39" t="n">
        <v>258.99</v>
      </c>
      <c r="K48" s="39" t="n">
        <v>66.26000000000001</v>
      </c>
      <c r="L48" s="34" t="n">
        <v>81</v>
      </c>
      <c r="M48" s="24" t="n">
        <v>42293</v>
      </c>
      <c r="N48" s="24" t="n">
        <v>42315</v>
      </c>
      <c r="O48" s="5" t="n">
        <v>20000</v>
      </c>
      <c r="P48" s="20" t="n">
        <v>14631</v>
      </c>
      <c r="Q48" s="65">
        <f>RATE(L48,-J48,P48)*12</f>
        <v/>
      </c>
      <c r="R48" s="67">
        <f>P48/O48</f>
        <v/>
      </c>
      <c r="S48" s="67" t="n"/>
      <c r="T48" s="306">
        <f>O48-H48</f>
        <v/>
      </c>
      <c r="U48" s="306" t="n"/>
      <c r="V48" s="306" t="n"/>
      <c r="W48" s="306" t="n"/>
      <c r="X48" s="199">
        <f>AVERAGE(U48:W48)</f>
        <v/>
      </c>
      <c r="Y48" s="199">
        <f>Z48/0.01</f>
        <v/>
      </c>
      <c r="Z48" s="306" t="n"/>
      <c r="AA48" s="134" t="n"/>
      <c r="AB48" s="21" t="s">
        <v>24</v>
      </c>
    </row>
    <row customFormat="1" customHeight="1" ht="20.25" r="49" s="22" spans="1:30">
      <c r="A49" s="44" t="n">
        <v>40263</v>
      </c>
      <c r="B49" s="219" t="s">
        <v>191</v>
      </c>
      <c r="C49" s="218" t="s">
        <v>27</v>
      </c>
      <c r="D49" s="220" t="s">
        <v>28</v>
      </c>
      <c r="E49" s="220" t="n">
        <v>43223</v>
      </c>
      <c r="F49" s="26" t="s">
        <v>4</v>
      </c>
      <c r="G49" s="25" t="n">
        <v>41688</v>
      </c>
      <c r="H49" s="295" t="n">
        <v>27498.03</v>
      </c>
      <c r="I49" s="48" t="n">
        <v>0.08</v>
      </c>
      <c r="J49" s="5" t="n">
        <v>244.25</v>
      </c>
      <c r="K49" s="5" t="n">
        <v>42.37</v>
      </c>
      <c r="L49" s="220" t="n">
        <v>221</v>
      </c>
      <c r="M49" s="25" t="n">
        <v>42289</v>
      </c>
      <c r="N49" s="25" t="n">
        <v>42309</v>
      </c>
      <c r="O49" s="52" t="n">
        <v>35400</v>
      </c>
      <c r="P49" s="28" t="n">
        <v>22675</v>
      </c>
      <c r="Q49" s="66">
        <f>RATE(L49,-J49,P49)*12</f>
        <v/>
      </c>
      <c r="R49" s="67">
        <f>P49/O49</f>
        <v/>
      </c>
      <c r="S49" s="67" t="n"/>
      <c r="T49" s="306">
        <f>O49-H49</f>
        <v/>
      </c>
      <c r="U49" s="306" t="n"/>
      <c r="V49" s="306" t="n"/>
      <c r="W49" s="306" t="n"/>
      <c r="X49" s="199">
        <f>AVERAGE(U49:W49)</f>
        <v/>
      </c>
      <c r="Y49" s="199">
        <f>Z49/0.01</f>
        <v/>
      </c>
      <c r="Z49" s="306" t="n"/>
      <c r="AA49" s="141" t="n"/>
      <c r="AB49" s="21" t="s">
        <v>24</v>
      </c>
    </row>
    <row customFormat="1" customHeight="1" ht="20.25" r="50" s="22" spans="1:30">
      <c r="A50" s="41" t="n">
        <v>40582</v>
      </c>
      <c r="B50" s="35" t="s">
        <v>422</v>
      </c>
      <c r="C50" s="35" t="s">
        <v>56</v>
      </c>
      <c r="D50" s="34" t="s">
        <v>28</v>
      </c>
      <c r="E50" s="34" t="n">
        <v>45205</v>
      </c>
      <c r="F50" s="34" t="s">
        <v>4</v>
      </c>
      <c r="G50" s="24" t="n">
        <v>41739</v>
      </c>
      <c r="H50" s="36" t="n">
        <v>46453.7</v>
      </c>
      <c r="I50" s="40" t="n">
        <v>0.08</v>
      </c>
      <c r="J50" s="39" t="n">
        <v>407.76</v>
      </c>
      <c r="K50" s="39" t="n">
        <v>204.86</v>
      </c>
      <c r="L50" s="34" t="n">
        <v>223</v>
      </c>
      <c r="M50" s="24" t="n">
        <v>42285</v>
      </c>
      <c r="N50" s="24" t="n">
        <v>42309</v>
      </c>
      <c r="O50" s="5" t="n">
        <v>81000</v>
      </c>
      <c r="P50" s="20" t="n">
        <v>38324</v>
      </c>
      <c r="Q50" s="65">
        <f>RATE(L50,-J50,P50)*12</f>
        <v/>
      </c>
      <c r="R50" s="67">
        <f>P50/O50</f>
        <v/>
      </c>
      <c r="S50" s="67" t="n"/>
      <c r="T50" s="306">
        <f>O50-H50</f>
        <v/>
      </c>
      <c r="U50" s="306" t="n"/>
      <c r="V50" s="306" t="n"/>
      <c r="W50" s="306" t="n"/>
      <c r="X50" s="199">
        <f>AVERAGE(U50:W50)</f>
        <v/>
      </c>
      <c r="Y50" s="199">
        <f>Z50/0.01</f>
        <v/>
      </c>
      <c r="Z50" s="306" t="n"/>
      <c r="AA50" s="134" t="n"/>
      <c r="AB50" s="21" t="s">
        <v>24</v>
      </c>
    </row>
    <row customFormat="1" customHeight="1" ht="20.25" r="51" s="22" spans="1:30">
      <c r="A51" s="41" t="n">
        <v>55229</v>
      </c>
      <c r="B51" s="35" t="s">
        <v>21</v>
      </c>
      <c r="C51" s="35" t="s">
        <v>22</v>
      </c>
      <c r="D51" s="34" t="s">
        <v>23</v>
      </c>
      <c r="E51" s="34" t="n">
        <v>18301</v>
      </c>
      <c r="F51" s="34" t="s">
        <v>4</v>
      </c>
      <c r="G51" s="24" t="n">
        <v>38370</v>
      </c>
      <c r="H51" s="36" t="n">
        <v>57855.87</v>
      </c>
      <c r="I51" s="40" t="n">
        <v>0.0809</v>
      </c>
      <c r="J51" s="39" t="n">
        <v>489.16</v>
      </c>
      <c r="K51" s="39" t="n">
        <v>0</v>
      </c>
      <c r="L51" s="34" t="n">
        <v>247</v>
      </c>
      <c r="M51" s="24" t="n">
        <v>42303</v>
      </c>
      <c r="N51" s="24" t="n">
        <v>42307</v>
      </c>
      <c r="O51" s="20" t="n">
        <v>61700</v>
      </c>
      <c r="P51" s="20" t="n">
        <v>47731</v>
      </c>
      <c r="Q51" s="65">
        <f>RATE(L51,-J51,P51)*12</f>
        <v/>
      </c>
      <c r="R51" s="67">
        <f>P51/O51</f>
        <v/>
      </c>
      <c r="S51" s="67" t="n"/>
      <c r="T51" s="306">
        <f>O51-H51</f>
        <v/>
      </c>
      <c r="U51" s="306" t="n"/>
      <c r="V51" s="306" t="n"/>
      <c r="W51" s="306" t="n"/>
      <c r="X51" s="199">
        <f>AVERAGE(U51:W51)</f>
        <v/>
      </c>
      <c r="Y51" s="199">
        <f>Z51/0.01</f>
        <v/>
      </c>
      <c r="Z51" s="306" t="n"/>
      <c r="AA51" s="134" t="n"/>
      <c r="AB51" s="21" t="s">
        <v>24</v>
      </c>
    </row>
    <row customFormat="1" customHeight="1" ht="20.25" r="52" s="22" spans="1:30">
      <c r="A52" s="44" t="n">
        <v>40576</v>
      </c>
      <c r="B52" s="219" t="s">
        <v>169</v>
      </c>
      <c r="C52" s="218" t="s">
        <v>56</v>
      </c>
      <c r="D52" s="220" t="s">
        <v>28</v>
      </c>
      <c r="E52" s="220" t="n">
        <v>45205</v>
      </c>
      <c r="F52" s="26" t="s">
        <v>4</v>
      </c>
      <c r="G52" s="25" t="n">
        <v>41667</v>
      </c>
      <c r="H52" s="295" t="n">
        <v>35453.82</v>
      </c>
      <c r="I52" s="48" t="n">
        <v>0.08</v>
      </c>
      <c r="J52" s="5" t="n">
        <v>309.06</v>
      </c>
      <c r="K52" s="5" t="n">
        <v>138.81</v>
      </c>
      <c r="L52" s="220" t="n">
        <v>220</v>
      </c>
      <c r="M52" s="25" t="n">
        <v>42278</v>
      </c>
      <c r="N52" s="25" t="n">
        <v>42309</v>
      </c>
      <c r="O52" s="52" t="n">
        <v>48900</v>
      </c>
      <c r="P52" s="28" t="n">
        <v>29250</v>
      </c>
      <c r="Q52" s="65">
        <f>RATE(L52,-J52,P52)*12</f>
        <v/>
      </c>
      <c r="R52" s="67">
        <f>P52/O52</f>
        <v/>
      </c>
      <c r="S52" s="67" t="n"/>
      <c r="T52" s="306">
        <f>O52-H52</f>
        <v/>
      </c>
      <c r="U52" s="306" t="n"/>
      <c r="V52" s="306" t="n"/>
      <c r="W52" s="306" t="n"/>
      <c r="X52" s="199">
        <f>AVERAGE(U52:W52)</f>
        <v/>
      </c>
      <c r="Y52" s="199">
        <f>Z52/0.01</f>
        <v/>
      </c>
      <c r="Z52" s="306" t="n"/>
      <c r="AA52" s="141" t="n"/>
      <c r="AB52" s="21" t="s">
        <v>24</v>
      </c>
    </row>
    <row customFormat="1" customHeight="1" ht="20.25" r="53" s="22" spans="1:30">
      <c r="A53" s="44" t="n">
        <v>41825</v>
      </c>
      <c r="B53" s="219" t="s">
        <v>423</v>
      </c>
      <c r="C53" s="218" t="s">
        <v>27</v>
      </c>
      <c r="D53" s="220" t="s">
        <v>28</v>
      </c>
      <c r="E53" s="220" t="n">
        <v>43223</v>
      </c>
      <c r="F53" s="26" t="s">
        <v>4</v>
      </c>
      <c r="G53" s="25" t="n">
        <v>41711</v>
      </c>
      <c r="H53" s="295" t="n">
        <v>28195.02</v>
      </c>
      <c r="I53" s="48" t="n">
        <v>0.08</v>
      </c>
      <c r="J53" s="5" t="n">
        <v>244.66</v>
      </c>
      <c r="K53" s="5" t="n">
        <v>141.89</v>
      </c>
      <c r="L53" s="220" t="n">
        <v>222</v>
      </c>
      <c r="M53" s="25" t="n">
        <v>42283</v>
      </c>
      <c r="N53" s="25" t="n">
        <v>42309</v>
      </c>
      <c r="O53" s="52" t="n">
        <v>52600</v>
      </c>
      <c r="P53" s="28" t="n">
        <v>23260</v>
      </c>
      <c r="Q53" s="66">
        <f>RATE(L53,-J53,P53)*12</f>
        <v/>
      </c>
      <c r="R53" s="67">
        <f>P53/O53</f>
        <v/>
      </c>
      <c r="S53" s="67" t="n"/>
      <c r="T53" s="306">
        <f>O53-H53</f>
        <v/>
      </c>
      <c r="U53" s="306" t="n"/>
      <c r="V53" s="306" t="n"/>
      <c r="W53" s="306" t="n"/>
      <c r="X53" s="199">
        <f>AVERAGE(U53:W53)</f>
        <v/>
      </c>
      <c r="Y53" s="199">
        <f>Z53/0.01</f>
        <v/>
      </c>
      <c r="Z53" s="306" t="n"/>
      <c r="AA53" s="141" t="n"/>
      <c r="AB53" s="21" t="s">
        <v>24</v>
      </c>
    </row>
    <row customFormat="1" customHeight="1" ht="20.25" r="54" s="22" spans="1:30">
      <c r="A54" s="44" t="n">
        <v>41698</v>
      </c>
      <c r="B54" s="219" t="s">
        <v>193</v>
      </c>
      <c r="C54" s="218" t="s">
        <v>56</v>
      </c>
      <c r="D54" s="220" t="s">
        <v>28</v>
      </c>
      <c r="E54" s="220" t="n">
        <v>45205</v>
      </c>
      <c r="F54" s="26" t="s">
        <v>4</v>
      </c>
      <c r="G54" s="25" t="n">
        <v>41782</v>
      </c>
      <c r="H54" s="295" t="n">
        <v>36907.46</v>
      </c>
      <c r="I54" s="48" t="n">
        <v>0.08</v>
      </c>
      <c r="J54" s="5" t="n">
        <v>317.85</v>
      </c>
      <c r="K54" s="5" t="n">
        <v>536.6799999999999</v>
      </c>
      <c r="L54" s="220" t="n">
        <v>224</v>
      </c>
      <c r="M54" s="25" t="n">
        <v>42303</v>
      </c>
      <c r="N54" s="25" t="n">
        <v>42278</v>
      </c>
      <c r="O54" s="52" t="n">
        <v>38000</v>
      </c>
      <c r="P54" s="28" t="n">
        <v>30445</v>
      </c>
      <c r="Q54" s="65">
        <f>RATE(L54,-J54,P54)*12</f>
        <v/>
      </c>
      <c r="R54" s="67">
        <f>P54/O54</f>
        <v/>
      </c>
      <c r="S54" s="67" t="n"/>
      <c r="T54" s="306">
        <f>O54-H54</f>
        <v/>
      </c>
      <c r="U54" s="306" t="n"/>
      <c r="V54" s="306" t="n"/>
      <c r="W54" s="306" t="n"/>
      <c r="X54" s="199">
        <f>AVERAGE(U54:W54)</f>
        <v/>
      </c>
      <c r="Y54" s="199">
        <f>Z54/0.01</f>
        <v/>
      </c>
      <c r="Z54" s="306" t="n"/>
      <c r="AA54" s="141" t="n"/>
      <c r="AB54" s="21" t="s">
        <v>24</v>
      </c>
    </row>
    <row customFormat="1" customHeight="1" ht="20.25" r="55" s="22" spans="1:30">
      <c r="A55" s="286" t="n">
        <v>2015062906</v>
      </c>
      <c r="B55" s="75" t="s">
        <v>424</v>
      </c>
      <c r="C55" s="81" t="s">
        <v>425</v>
      </c>
      <c r="D55" s="85" t="s">
        <v>124</v>
      </c>
      <c r="E55" s="85" t="n">
        <v>49017</v>
      </c>
      <c r="F55" s="88" t="s">
        <v>4</v>
      </c>
      <c r="G55" s="90" t="n">
        <v>41463</v>
      </c>
      <c r="H55" s="95" t="n">
        <v>37000</v>
      </c>
      <c r="I55" s="99" t="n">
        <v>0.099</v>
      </c>
      <c r="J55" s="104" t="n">
        <v>102.44</v>
      </c>
      <c r="K55" s="104" t="n">
        <v>111</v>
      </c>
      <c r="L55" s="88" t="n">
        <v>333</v>
      </c>
      <c r="M55" s="90" t="n">
        <v>41456</v>
      </c>
      <c r="N55" s="108" t="n">
        <v>41487</v>
      </c>
      <c r="O55" s="110" t="n">
        <v>31500</v>
      </c>
      <c r="P55" s="45" t="n">
        <v>14175</v>
      </c>
      <c r="Q55" s="66">
        <f>RATE(L55,-J55,P55)*12</f>
        <v/>
      </c>
      <c r="R55" s="67">
        <f>P55/O55</f>
        <v/>
      </c>
      <c r="S55" s="67" t="n"/>
      <c r="T55" s="306">
        <f>O55-H55</f>
        <v/>
      </c>
      <c r="U55" s="306" t="n"/>
      <c r="V55" s="306" t="n"/>
      <c r="W55" s="306" t="n"/>
      <c r="X55" s="199">
        <f>AVERAGE(U55:W55)</f>
        <v/>
      </c>
      <c r="Y55" s="199">
        <f>Z55/0.01</f>
        <v/>
      </c>
      <c r="Z55" s="306" t="n"/>
      <c r="AA55" s="142" t="n"/>
      <c r="AB55" s="46" t="s">
        <v>24</v>
      </c>
    </row>
  </sheetData>
  <conditionalFormatting sqref="R2:S55">
    <cfRule priority="4" type="colorScale">
      <colorScale>
        <cfvo type="min"/>
        <cfvo type="percentile" val="50"/>
        <cfvo type="max"/>
        <color rgb="FF008000"/>
        <color rgb="FFFFEB84"/>
        <color rgb="FFFF0000"/>
      </colorScale>
    </cfRule>
  </conditionalFormatting>
  <conditionalFormatting sqref="Q2:Q34">
    <cfRule priority="3" type="colorScale">
      <colorScale>
        <cfvo type="min"/>
        <cfvo type="percentile" val="50"/>
        <cfvo type="max"/>
        <color rgb="FFFF7128"/>
        <color rgb="FFFFEB84"/>
        <color rgb="FF63BE7B"/>
      </colorScale>
    </cfRule>
  </conditionalFormatting>
  <conditionalFormatting sqref="T4:T55">
    <cfRule priority="1" type="colorScale">
      <colorScale>
        <cfvo type="min"/>
        <cfvo type="percentile" val="50"/>
        <cfvo type="max"/>
        <color rgb="FFFF7128"/>
        <color rgb="FFFFEB84"/>
        <color rgb="FF63BE7B"/>
      </colorScale>
    </cfRule>
  </conditionalFormatting>
  <pageMargins bottom="0.75" footer="0.3" header="0.3" left="0.7" right="0.7" top="0.75"/>
  <pageSetup orientation="portrait"/>
</worksheet>
</file>

<file path=docProps/app.xml><?xml version="1.0" encoding="utf-8"?>
<ns0:Properties xmlns:ns0="http://schemas.openxmlformats.org/officeDocument/2006/extended-properties" xmlns:vt="http://schemas.openxmlformats.org/officeDocument/2006/docPropsVTypes">
  <ns0:Application>Microsoft Excel</ns0:Application>
  <ns0:DocSecurity>0</ns0:DocSecurity>
  <ns0:ScaleCrop>false</ns0:ScaleCrop>
  <ns0:Company/>
  <ns0:LinksUpToDate>false</ns0:LinksUpToDate>
  <ns0:SharedDoc>false</ns0:SharedDoc>
  <ns0:HyperlinksChanged>false</ns0:HyperlinksChanged>
  <ns0:AppVersion>12.0000</ns0:AppVersion>
  <ns0:HeadingPairs>
    <vt:vector baseType="variant" size="2">
      <vt:variant>
        <vt:lpstr>Worksheets</vt:lpstr>
      </vt:variant>
      <vt:variant>
        <vt:i4>3</vt:i4>
      </vt:variant>
    </vt:vector>
  </ns0:HeadingPairs>
  <ns0:TitlesOfParts>
    <vt:vector baseType="lpstr" size="3">
      <vt:lpstr>Jan (2)</vt:lpstr>
      <vt:lpstr>Jan</vt:lpstr>
      <vt:lpstr>November</vt:lpstr>
    </vt:vector>
  </ns0:TitlesOfParts>
</ns0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Charles Mangan</dc:creator>
  <dc:title/>
  <dc:description/>
  <dc:subject/>
  <dc:identifier/>
  <dc:language/>
  <dcterms:created xsi:type="dcterms:W3CDTF">2015-10-26T21:31:39Z</dcterms:created>
  <dcterms:modified xsi:type="dcterms:W3CDTF">2016-07-16T23:10:22Z</dcterms:modified>
  <cp:lastModifiedBy>Microsoft Office User</cp:lastModifiedBy>
  <cp:category/>
  <cp:contentStatus/>
  <cp:version/>
  <cp:revision/>
  <cp:keywords/>
</cp:coreProperties>
</file>